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ms-excel.person+xml" PartName="/xl/persons/perso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threadedcomments+xml" PartName="/xl/threadedComments/threadedComment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>
    <mc:Choice Requires="x15">
      <x15ac:absPath xmlns:x15ac="http://schemas.microsoft.com/office/spreadsheetml/2010/11/ac" url="D:\OFP\PAL\New folder\"/>
    </mc:Choice>
  </mc:AlternateContent>
  <bookViews>
    <workbookView xWindow="-105" yWindow="-105" windowWidth="19425" windowHeight="10425" firstSheet="1" activeTab="1"/>
  </bookViews>
  <sheets>
    <sheet name="FAQs" sheetId="2" state="hidden" r:id="rId1"/>
    <sheet name="Settings" sheetId="10" r:id="rId2"/>
    <sheet name="AlphaLists" sheetId="18" state="hidden" r:id="rId3"/>
    <sheet name="Home Page" sheetId="1" r:id="rId4"/>
    <sheet name="PAL" sheetId="4" r:id="rId5"/>
    <sheet name="Multiple Artwork for Product" sheetId="17" r:id="rId6"/>
    <sheet name="Multipack Children" sheetId="12" r:id="rId7"/>
    <sheet name="PAL Meeting Minutes" sheetId="7" state="hidden" r:id="rId8"/>
    <sheet name="Batch Dates" sheetId="9" state="hidden" r:id="rId9"/>
  </sheets>
  <externalReferences>
    <externalReference r:id="rId10"/>
    <externalReference r:id="rId11"/>
  </externalReferences>
  <definedNames>
    <definedName name="_xlnm._FilterDatabase" localSheetId="8" hidden="1">'Batch Dates'!$A$5:$C$5</definedName>
    <definedName name="_xlnm._FilterDatabase" localSheetId="6" hidden="1">'Multipack Children'!$D$2:$H$2</definedName>
    <definedName name="_xlnm._FilterDatabase" localSheetId="4" hidden="1">PAL!$B$5:$CV$5</definedName>
    <definedName name="_xlnm._FilterDatabase" localSheetId="1" hidden="1">Settings!#REF!</definedName>
    <definedName name="afcExportCriteria">Settings!#REF!</definedName>
    <definedName name="afcMultiPack">Settings!#REF!</definedName>
    <definedName name="afcMultipleArtwork">Settings!#REF!</definedName>
    <definedName name="afcNewSummary">Settings!#REF!</definedName>
    <definedName name="afoExportColumns">Settings!#REF!</definedName>
    <definedName name="afoMultipack">'Multipack Children'!$D$2:$H$2</definedName>
    <definedName name="afoMultipleArtwork">'Multiple Artwork for Product'!$B$2:$P$2</definedName>
    <definedName name="AnswerRowInsert">FAQs!$A$18</definedName>
    <definedName name="_xlnm.Criteria" localSheetId="6">'Multipack Children'!#REF!</definedName>
    <definedName name="dlApprovalRoute">#REF!</definedName>
    <definedName name="dlBankHolidays">#REF!</definedName>
    <definedName name="dlBannedIngredients">#REF!</definedName>
    <definedName name="dlBatchNumbers">'Batch Dates'!$A$6:$A$206</definedName>
    <definedName name="dlCatchFixedWeight">#REF!</definedName>
    <definedName name="dlCategory">#REF!</definedName>
    <definedName name="dlConsumerPackagingType">#REF!</definedName>
    <definedName name="dlCostPriceCurrency">#REF!</definedName>
    <definedName name="dlCostPriceCurrencyXRates">#REF!</definedName>
    <definedName name="dlCriticalPathRequired">#REF!</definedName>
    <definedName name="dlcustomerattribute">[1]Lists!$C$19:$C$23</definedName>
    <definedName name="dlCutterType">#REF!</definedName>
    <definedName name="dlDesignRoute">#REF!</definedName>
    <definedName name="dlDirectIndSupplyChain">#REF!</definedName>
    <definedName name="dlDisplayMethod">#REF!</definedName>
    <definedName name="dlFeasibility">#REF!</definedName>
    <definedName name="dlFeatureLaunch">#REF!</definedName>
    <definedName name="dlFixedBuy">#REF!</definedName>
    <definedName name="dlFrenchVATCodes">#REF!</definedName>
    <definedName name="dlFTOEBO">#REF!</definedName>
    <definedName name="dlGBNIEULegalStatus">#REF!</definedName>
    <definedName name="dlGoNoGo">#REF!</definedName>
    <definedName name="dlInternationalPkgRegs">#REF!</definedName>
    <definedName name="dlIrishVATCodes">#REF!</definedName>
    <definedName name="dlLaunchPhase">#REF!</definedName>
    <definedName name="dlOrientation">#REF!</definedName>
    <definedName name="dlOverSticker">#REF!</definedName>
    <definedName name="dlPALColumns">#REF!</definedName>
    <definedName name="dlParentChild">#REF!</definedName>
    <definedName name="dlPermLoc">#REF!</definedName>
    <definedName name="dlPhotorequired">#REF!</definedName>
    <definedName name="dlPkgReg">[1]Lists!$C$199:$C$209</definedName>
    <definedName name="dlPlanA">#REF!</definedName>
    <definedName name="dlPricePerXgKgml">#REF!</definedName>
    <definedName name="dlPricingPolicy">#REF!</definedName>
    <definedName name="dlPrintedPackagingType">#REF!</definedName>
    <definedName name="dlPrinterType">#REF!</definedName>
    <definedName name="dlProductFileType">#REF!</definedName>
    <definedName name="dlProductStoryAttribute">#REF!</definedName>
    <definedName name="dlProductTypeConvert">#REF!</definedName>
    <definedName name="dlProductTypeStatus">[1]Lists!$C$6:$C$17</definedName>
    <definedName name="dlRangingStrategy">#REF!</definedName>
    <definedName name="dlReasonForChange">#REF!</definedName>
    <definedName name="dlRoles">Settings!$A$9:$A$28</definedName>
    <definedName name="dlSecondaryDesignRoute">#REF!</definedName>
    <definedName name="dlSPSCertificationType">#REF!</definedName>
    <definedName name="dlStatus">[2]Lists!$C$6:$C$17</definedName>
    <definedName name="dlStockLossRisk">#REF!</definedName>
    <definedName name="dlStrategicClassification">#REF!</definedName>
    <definedName name="dlTier">#REF!</definedName>
    <definedName name="dltPALColumns">#REF!</definedName>
    <definedName name="dlUnit">#REF!</definedName>
    <definedName name="dlVATBuyingIndicator">#REF!</definedName>
    <definedName name="dlVATSellingIndicator">#REF!</definedName>
    <definedName name="dlWhereProductSold">#REF!</definedName>
    <definedName name="dlYN">#REF!</definedName>
    <definedName name="drCompletedBy">PAL!$4:$4</definedName>
    <definedName name="drCreativeGateCheck">Settings!$B$5:$CV$5</definedName>
    <definedName name="drInsertRow">Settings!#REF!</definedName>
    <definedName name="drMPChildrenColumnSettings">Settings!#REF!</definedName>
    <definedName name="drMultipackArtworkColumnSettings">Settings!#REF!</definedName>
    <definedName name="drPASColumnSettings">Settings!#REF!</definedName>
    <definedName name="dseColumnCount">Settings!$A$8</definedName>
    <definedName name="dseCurrentView">'Home Page'!$L$13</definedName>
    <definedName name="dseEndData">PAL!#REF!</definedName>
    <definedName name="dseGoToColumn">Settings!#REF!</definedName>
    <definedName name="dsePALColumnMatch">Settings!#REF!</definedName>
    <definedName name="dsePALProjectName">'Home Page'!$D$6</definedName>
    <definedName name="dsePALRowHeight">Settings!#REF!</definedName>
    <definedName name="dseProjectName">Settings!#REF!</definedName>
    <definedName name="dseRole">'Home Page'!$G$16</definedName>
    <definedName name="dseShowAllRows">PAL!#REF!</definedName>
    <definedName name="dtDepotDate">PAL!$C$5</definedName>
    <definedName name="dtiColumnKey">Settings!$A$8:$CV$17</definedName>
    <definedName name="dtiNewSummary">PAL!$W$5:$W$5</definedName>
    <definedName name="dtiPALData">PAL!$B$5:$CV$5</definedName>
    <definedName name="dtiReducedPALData">PAL!$B$5:$BV$5</definedName>
    <definedName name="dtiSummaryTable">Settings!#REF!</definedName>
    <definedName name="dtMultiArtworkUPC">'Multiple Artwork for Product'!$B$2</definedName>
    <definedName name="dtMultiPackUPC">'Multipack Children'!$D$2</definedName>
    <definedName name="dtProjectName">PAL!$B$5</definedName>
    <definedName name="dtSettingsProjectName">Settings!#REF!</definedName>
    <definedName name="dtxMultipackData">'Multipack Children'!#REF!</definedName>
    <definedName name="dtxMultipleArtworkData">'Multiple Artwork for Product'!#REF!</definedName>
    <definedName name="dtxPALData">PAL!#REF!</definedName>
    <definedName name="_xlnm.Extract" localSheetId="6">'Multipack Children'!$D$2:$H$2</definedName>
    <definedName name="_xlnm.Extract" localSheetId="5">'Multiple Artwork for Product'!$B$2:$P$2</definedName>
    <definedName name="MainSheetTable">PAL!$A:$BU</definedName>
    <definedName name="_xlnm.Print_Area" localSheetId="4">PAL!$B$1:$BU$5</definedName>
    <definedName name="_xlnm.Print_Titles" localSheetId="4">PAL!$5:$5</definedName>
    <definedName name="TopFAQs">FAQs!$A$1</definedName>
    <definedName name="Z_33876330_D4CE_4DD3_A5B9_91A882722FCE_.wvu.Cols" localSheetId="3" hidden="1">'Home Page'!$O:$O</definedName>
    <definedName name="Z_33876330_D4CE_4DD3_A5B9_91A882722FCE_.wvu.Cols" localSheetId="6" hidden="1">'Multipack Children'!#REF!,'Multipack Children'!#REF!</definedName>
    <definedName name="Z_33876330_D4CE_4DD3_A5B9_91A882722FCE_.wvu.Cols" localSheetId="4" hidden="1">PAL!$A:$A,PAL!$BH:$BQ</definedName>
    <definedName name="Z_33876330_D4CE_4DD3_A5B9_91A882722FCE_.wvu.FilterData" localSheetId="8" hidden="1">'Batch Dates'!$A$5:$C$5</definedName>
    <definedName name="Z_33876330_D4CE_4DD3_A5B9_91A882722FCE_.wvu.FilterData" localSheetId="6" hidden="1">'Multipack Children'!$E$2:$H$2</definedName>
    <definedName name="Z_33876330_D4CE_4DD3_A5B9_91A882722FCE_.wvu.FilterData" localSheetId="4" hidden="1">PAL!$C$5:$BT$5</definedName>
    <definedName name="Z_33876330_D4CE_4DD3_A5B9_91A882722FCE_.wvu.PrintArea" localSheetId="3" hidden="1">'Home Page'!$B$3:$N$28</definedName>
    <definedName name="Z_33876330_D4CE_4DD3_A5B9_91A882722FCE_.wvu.PrintArea" localSheetId="4" hidden="1">PAL!$A$1:$AH$5</definedName>
    <definedName name="Z_33876330_D4CE_4DD3_A5B9_91A882722FCE_.wvu.PrintTitles" localSheetId="4" hidden="1">PAL!$4:$5</definedName>
    <definedName name="Z_EFAF1278_2BB4_487F_A381_983E6F72163A_.wvu.Cols" localSheetId="3" hidden="1">'Home Page'!$O:$O</definedName>
    <definedName name="Z_EFAF1278_2BB4_487F_A381_983E6F72163A_.wvu.Cols" localSheetId="6" hidden="1">'Multipack Children'!#REF!,'Multipack Children'!$F:$H,'Multipack Children'!#REF!</definedName>
    <definedName name="Z_EFAF1278_2BB4_487F_A381_983E6F72163A_.wvu.Cols" localSheetId="4" hidden="1">#REF!,PAL!$K:$AH,PAL!$BH:$CB</definedName>
    <definedName name="Z_EFAF1278_2BB4_487F_A381_983E6F72163A_.wvu.PrintArea" localSheetId="3" hidden="1">'Home Page'!$A$3:$O$28</definedName>
  </definedNames>
  <calcPr calcId="162913"/>
  <customWorkbookViews>
    <customWorkbookView name="b7783397 - Personal View" guid="{EFAF1278-2BB4-487F-A381-983E6F72163A}" mergeInterval="0" personalView="1" maximized="1" xWindow="1" yWindow="1" windowWidth="1276" windowHeight="570" activeSheetId="1" showComments="commIndAndComment"/>
    <customWorkbookView name="b7334140 - Personal View" guid="{33876330-D4CE-4DD3-A5B9-91A882722FCE}" mergeInterval="0" personalView="1" maximized="1" xWindow="143" yWindow="-808" windowWidth="1296" windowHeight="816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3" i="10" l="1"/>
  <c r="P33" i="10" l="1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H29" i="10"/>
  <c r="G29" i="10"/>
  <c r="F29" i="10"/>
  <c r="E29" i="10"/>
  <c r="D29" i="10"/>
  <c r="C29" i="10"/>
  <c r="B29" i="10"/>
  <c r="B3" i="10"/>
  <c r="J3" i="10"/>
  <c r="AB3" i="10"/>
  <c r="U3" i="10"/>
  <c r="H3" i="10"/>
  <c r="G3" i="10"/>
  <c r="CF3" i="10"/>
  <c r="CE3" i="10"/>
  <c r="AV3" i="10"/>
  <c r="E3" i="10"/>
  <c r="D3" i="10"/>
  <c r="CX3" i="10" l="1"/>
  <c r="CW3" i="10"/>
  <c r="CN3" i="10"/>
  <c r="CM3" i="10"/>
  <c r="CL3" i="10"/>
  <c r="CV3" i="10" l="1"/>
  <c r="AC3" i="10" l="1"/>
  <c r="AD3" i="10"/>
  <c r="AE3" i="10"/>
  <c r="AF3" i="10"/>
  <c r="AG3" i="10"/>
  <c r="C3" i="10"/>
  <c r="F3" i="10"/>
  <c r="I3" i="10"/>
  <c r="K3" i="10"/>
  <c r="L3" i="10"/>
  <c r="M3" i="10"/>
  <c r="N3" i="10"/>
  <c r="O3" i="10"/>
  <c r="P3" i="10"/>
  <c r="Q3" i="10"/>
  <c r="R3" i="10"/>
  <c r="S3" i="10"/>
  <c r="T3" i="10"/>
  <c r="V3" i="10"/>
  <c r="W3" i="10"/>
  <c r="X3" i="10"/>
  <c r="Y3" i="10"/>
  <c r="Z3" i="10"/>
  <c r="AA3" i="10"/>
  <c r="AH3" i="10"/>
  <c r="AI3" i="10"/>
  <c r="AJ3" i="10"/>
  <c r="AK3" i="10"/>
  <c r="AL3" i="10"/>
  <c r="AM3" i="10"/>
  <c r="AN3" i="10"/>
  <c r="AO3" i="10"/>
  <c r="AP3" i="10"/>
  <c r="AQ3" i="10"/>
  <c r="AR3" i="10"/>
  <c r="AS3" i="10"/>
  <c r="AT3" i="10"/>
  <c r="AU3" i="10"/>
  <c r="AW3" i="10"/>
  <c r="AY3" i="10"/>
  <c r="AZ3" i="10"/>
  <c r="BA3" i="10"/>
  <c r="BB3" i="10"/>
  <c r="BC3" i="10"/>
  <c r="BD3" i="10"/>
  <c r="BE3" i="10"/>
  <c r="BF3" i="10"/>
  <c r="BG3" i="10"/>
  <c r="BH3" i="10"/>
  <c r="BI3" i="10"/>
  <c r="BJ3" i="10"/>
  <c r="BK3" i="10"/>
  <c r="BL3" i="10"/>
  <c r="BM3" i="10"/>
  <c r="BN3" i="10"/>
  <c r="BO3" i="10"/>
  <c r="BP3" i="10"/>
  <c r="BQ3" i="10"/>
  <c r="BR3" i="10"/>
  <c r="BS3" i="10"/>
  <c r="BT3" i="10"/>
  <c r="BU3" i="10"/>
  <c r="BV3" i="10"/>
  <c r="BW3" i="10"/>
  <c r="BX3" i="10"/>
  <c r="BY3" i="10"/>
  <c r="BZ3" i="10"/>
  <c r="CA3" i="10"/>
  <c r="CB3" i="10"/>
  <c r="CC3" i="10"/>
  <c r="CD3" i="10"/>
  <c r="CG3" i="10"/>
  <c r="CH3" i="10"/>
  <c r="CI3" i="10"/>
  <c r="CJ3" i="10"/>
  <c r="CK3" i="10"/>
  <c r="CO3" i="10"/>
  <c r="CP3" i="10"/>
  <c r="CQ3" i="10"/>
  <c r="CR3" i="10"/>
  <c r="CS3" i="10"/>
  <c r="CT3" i="10"/>
  <c r="CU3" i="10"/>
  <c r="G2" i="7"/>
  <c r="E1" i="7" l="1"/>
  <c r="B1" i="4"/>
  <c r="A8" i="10"/>
</calcChain>
</file>

<file path=xl/sharedStrings.xml><?xml version="1.0" encoding="utf-8"?>
<sst xmlns="http://schemas.openxmlformats.org/spreadsheetml/2006/main" count="2672" uniqueCount="605">
  <si>
    <t>FAQ's</t>
  </si>
  <si>
    <t>Can I insert a row/column?</t>
  </si>
  <si>
    <t>Can I hide a row/column?</t>
  </si>
  <si>
    <t>Who receives the PAL post the Creative Gate meeting?</t>
  </si>
  <si>
    <t>Back to Top</t>
  </si>
  <si>
    <t>No. The "Main Sheet" tab and the "Summary" tab are locked in order to protect the formulas</t>
  </si>
  <si>
    <t>PAL Column Keys</t>
  </si>
  <si>
    <t>Role completing column</t>
  </si>
  <si>
    <t>PM</t>
  </si>
  <si>
    <t>Buyer</t>
  </si>
  <si>
    <t>PD</t>
  </si>
  <si>
    <t>Tech</t>
  </si>
  <si>
    <t>CP</t>
  </si>
  <si>
    <t>Supplier</t>
  </si>
  <si>
    <t>INTERNATIONAL</t>
  </si>
  <si>
    <t>VAT</t>
  </si>
  <si>
    <t>TECH</t>
  </si>
  <si>
    <t>SYSTEM</t>
  </si>
  <si>
    <t>Column Name Match on PAL sheet</t>
  </si>
  <si>
    <t>When is column completed?</t>
  </si>
  <si>
    <t>Strategy Stage</t>
  </si>
  <si>
    <t>Finalise Stage</t>
  </si>
  <si>
    <t>Creative Gate</t>
  </si>
  <si>
    <t>Creative Stage</t>
  </si>
  <si>
    <t>Finalise Gate</t>
  </si>
  <si>
    <t xml:space="preserve">Creative Stage </t>
  </si>
  <si>
    <t>Column required for Creative Gate Check in PAL?</t>
  </si>
  <si>
    <t>Yes</t>
  </si>
  <si>
    <t>No</t>
  </si>
  <si>
    <t>Project Name
(YY-YY Project Category)</t>
  </si>
  <si>
    <t>CONFIRMED IN DEPOT DATE</t>
  </si>
  <si>
    <t>LAUNCH PHASE</t>
  </si>
  <si>
    <t>CATEGORY (E.G CELEBRATION, GROCERY)</t>
  </si>
  <si>
    <t>Sub-category</t>
  </si>
  <si>
    <t>GO, NO GO, RECYCLE, HOLD</t>
  </si>
  <si>
    <t>Buyer Name</t>
  </si>
  <si>
    <t>Product Developer Name</t>
  </si>
  <si>
    <t>Technologist Name</t>
  </si>
  <si>
    <t>UPC</t>
  </si>
  <si>
    <t>CONFIRMED PRODUCT TITLE</t>
  </si>
  <si>
    <t>CONFIRMED PRODUCT SUBTITLE (SUBCOPY)</t>
  </si>
  <si>
    <t>COMMENTS</t>
  </si>
  <si>
    <t>Concept Submission number &amp; date</t>
  </si>
  <si>
    <t>Change since last concept submission</t>
  </si>
  <si>
    <t>Strategic Classification</t>
  </si>
  <si>
    <t>Product Needstate</t>
  </si>
  <si>
    <t>FIND PRODUCT FILE TYPE</t>
  </si>
  <si>
    <t>Critical Path Required</t>
  </si>
  <si>
    <t>Reasons for Change</t>
  </si>
  <si>
    <t>Approval Route</t>
  </si>
  <si>
    <t>HERO PRODUCT</t>
  </si>
  <si>
    <t>Product Quality Story</t>
  </si>
  <si>
    <t>TIER - Good, Better, Best</t>
  </si>
  <si>
    <t>Printer Type</t>
  </si>
  <si>
    <t>Printer Name</t>
  </si>
  <si>
    <t>Printed Packaging Type</t>
  </si>
  <si>
    <t>Consumer Packaging Type</t>
  </si>
  <si>
    <t>Photography Required</t>
  </si>
  <si>
    <t>DESIGN ROUTE</t>
  </si>
  <si>
    <t>SECONDARY DESIGN ROUTE</t>
  </si>
  <si>
    <t>FOP REQ LOGO'S</t>
  </si>
  <si>
    <t>Cutter Type</t>
  </si>
  <si>
    <t>CUTTER REF</t>
  </si>
  <si>
    <t>BATCH NUMBER</t>
  </si>
  <si>
    <t>"FINALISE" - GATE</t>
  </si>
  <si>
    <t>DESIGN CONCEPT HANDOVER</t>
  </si>
  <si>
    <t>BATON HAND OVER</t>
  </si>
  <si>
    <t>FTP DATE</t>
  </si>
  <si>
    <t>WEIGHT/
VOLUME</t>
  </si>
  <si>
    <t>UNIT OF MEASURE</t>
  </si>
  <si>
    <t>Supplier name  (as declared on FIND)</t>
  </si>
  <si>
    <t>SUPPLIER SITE CODE</t>
  </si>
  <si>
    <t>NEW SUPPLIER</t>
  </si>
  <si>
    <t>Master Vendor</t>
  </si>
  <si>
    <t>INTERNATIONAL PACKAGING REQUIREMENTS</t>
  </si>
  <si>
    <t>MCR</t>
  </si>
  <si>
    <t>Direct / Indirect Supply</t>
  </si>
  <si>
    <t>Where product is to be sold</t>
  </si>
  <si>
    <t>FTO or EBO</t>
  </si>
  <si>
    <t>Cost Price - Ex Works, Ocado</t>
  </si>
  <si>
    <t>Cost Price - Delivered (Ocado)</t>
  </si>
  <si>
    <t>Gross Cost Price - M&amp;S</t>
  </si>
  <si>
    <t>AGREED COST PRICE CURRENCY</t>
  </si>
  <si>
    <t>Selling Price</t>
  </si>
  <si>
    <t>Stock Loss Risk</t>
  </si>
  <si>
    <t>Price per Xg/kg/ml
(Define X)</t>
  </si>
  <si>
    <t>UK VAT - Buying Tax Indicator</t>
  </si>
  <si>
    <t>UK VAT - Selling Tax Indicator</t>
  </si>
  <si>
    <t>Vat team confirmed</t>
  </si>
  <si>
    <t>Irish VAT Code</t>
  </si>
  <si>
    <t>FR VAT Code</t>
  </si>
  <si>
    <t>VAT Comment</t>
  </si>
  <si>
    <t>MARGIN</t>
  </si>
  <si>
    <t>MOQ (Minimum order quantity</t>
  </si>
  <si>
    <t>Fixed Buy</t>
  </si>
  <si>
    <t>Max Volume available</t>
  </si>
  <si>
    <t>Fixed Buy commitment deadline</t>
  </si>
  <si>
    <t>Order Leadtime Supply Chain</t>
  </si>
  <si>
    <t>UPT</t>
  </si>
  <si>
    <t>TRAY SELLING VALUE</t>
  </si>
  <si>
    <t>TRAY COST VALUE</t>
  </si>
  <si>
    <t>PROMO FOR LAUNCH</t>
  </si>
  <si>
    <t>PRICING POLICY</t>
  </si>
  <si>
    <t>Product Comparison</t>
  </si>
  <si>
    <t>PROPOSED NUMBER OF STORES</t>
  </si>
  <si>
    <t>MODEL PRODUCT</t>
  </si>
  <si>
    <t>SUCCESS CRITERIA = ROS PER STORE</t>
  </si>
  <si>
    <t>AVERAGE WEEKLY SALES - M&amp;S</t>
  </si>
  <si>
    <t>AVERAGE WEEKLY VOLUME -M&amp;S</t>
  </si>
  <si>
    <t>AVERAGE WEEKLY VOLUME - Ocado</t>
  </si>
  <si>
    <t>CATCHWEIGHT/FIXED WEIGHT</t>
  </si>
  <si>
    <t>Finished Goods Dimensions HEIGHT (cm)</t>
  </si>
  <si>
    <t xml:space="preserve">Finished Goods Dimensions WIDTH (cm) </t>
  </si>
  <si>
    <t xml:space="preserve">Finished Goods Dimensions
DEPTH (cm) </t>
  </si>
  <si>
    <t>ORIENTATION
(select best shape)</t>
  </si>
  <si>
    <t>SRP REQUIRED</t>
  </si>
  <si>
    <t>PRODUCT LIFE (NIGHTS)</t>
  </si>
  <si>
    <t>PLAN A ATTRIBUTE(s)
or
Sustainability</t>
  </si>
  <si>
    <t>Banned ingredients for International</t>
  </si>
  <si>
    <t>SPS certifcation type required for export</t>
  </si>
  <si>
    <t>GB / NI / EU legal status</t>
  </si>
  <si>
    <t>Multiple country of origins</t>
  </si>
  <si>
    <t>FEASIBILITY: OVERALL SCORE &amp; LEVEL</t>
  </si>
  <si>
    <t>Is the Date Code (UB/BB/BBE) visible?</t>
  </si>
  <si>
    <t>Check</t>
  </si>
  <si>
    <t>All PAL Columns</t>
  </si>
  <si>
    <t>X</t>
  </si>
  <si>
    <t>Commercial Planner</t>
  </si>
  <si>
    <t>Design</t>
  </si>
  <si>
    <t>Display Planner</t>
  </si>
  <si>
    <t>GSP</t>
  </si>
  <si>
    <t>International</t>
  </si>
  <si>
    <t>Loss Prevention</t>
  </si>
  <si>
    <t>LSP</t>
  </si>
  <si>
    <t>Marketing</t>
  </si>
  <si>
    <t>Ocado</t>
  </si>
  <si>
    <t>Price and Promo Insight Team</t>
  </si>
  <si>
    <t>Product Developer</t>
  </si>
  <si>
    <t>Summary for PAS Meetings</t>
  </si>
  <si>
    <t>Supply Chain &amp; Logistics</t>
  </si>
  <si>
    <t>Technologist</t>
  </si>
  <si>
    <t>VAT - Buying Tax Indicator</t>
  </si>
  <si>
    <t>VAT - Selling Tax Indicator</t>
  </si>
  <si>
    <t>Supplier Site Code</t>
  </si>
  <si>
    <t>Design Route</t>
  </si>
  <si>
    <t>Secondary Design Route</t>
  </si>
  <si>
    <t>Cutter Ref</t>
  </si>
  <si>
    <t>FTP Date</t>
  </si>
  <si>
    <t>International Packaging Requirements</t>
  </si>
  <si>
    <t>Comments</t>
  </si>
  <si>
    <t>Project Name</t>
  </si>
  <si>
    <t>PRODUCT TYPE</t>
  </si>
  <si>
    <t>DESIGN MASTERS HAND OVER</t>
  </si>
  <si>
    <t>ORIENTATION</t>
  </si>
  <si>
    <t>SRT REQUIRED</t>
  </si>
  <si>
    <t>PLAN A ATTRIBUTE</t>
  </si>
  <si>
    <t>FEASIBILITY ATTRIBUTES</t>
  </si>
  <si>
    <t>LOVs</t>
  </si>
  <si>
    <t>ID No</t>
  </si>
  <si>
    <t>PAL Columns</t>
  </si>
  <si>
    <t>Completed By</t>
  </si>
  <si>
    <t>Stage</t>
  </si>
  <si>
    <t>APPROVAL ROUTE</t>
  </si>
  <si>
    <t>BANNED INGREDIENTS IN INTERNATIONAL</t>
  </si>
  <si>
    <t>BATCH DATES</t>
  </si>
  <si>
    <t>CATCHWEIGHT / FIXED WEIGHT</t>
  </si>
  <si>
    <t>CATEGORY</t>
  </si>
  <si>
    <t>CONSUMER PACKAGING TYPE</t>
  </si>
  <si>
    <t>COST PRICE CURRENCY</t>
  </si>
  <si>
    <t>CRITICAL PATH REQUIRED</t>
  </si>
  <si>
    <t>CUTTER TYPE</t>
  </si>
  <si>
    <t>DIRECT / INDIRECT SUPPLY CHAIN</t>
  </si>
  <si>
    <t>DISPLAY METHOD</t>
  </si>
  <si>
    <t>FEATURE FOR LAUNCH</t>
  </si>
  <si>
    <t>FIXED BUY</t>
  </si>
  <si>
    <t>FRENCH VAT CODES</t>
  </si>
  <si>
    <t>FTO / EBO</t>
  </si>
  <si>
    <t>GB / NI / EU LEGAL STATUS</t>
  </si>
  <si>
    <t>INTL PACKAGING REQUIREMENTS</t>
  </si>
  <si>
    <t>IRISH VAT CODES</t>
  </si>
  <si>
    <t>OVERSTICKER</t>
  </si>
  <si>
    <t>PARENT CHILD</t>
  </si>
  <si>
    <t>PERMANENT LOCATION</t>
  </si>
  <si>
    <t>PHOTO REQUIRED</t>
  </si>
  <si>
    <t>PRICE PER X G/KG/ML</t>
  </si>
  <si>
    <t>PRINTED PACKAGING TYPE</t>
  </si>
  <si>
    <t>PRINTER TYPE</t>
  </si>
  <si>
    <t>PRODUCT STORY ATTRIBUTE</t>
  </si>
  <si>
    <t>RANGING STRATEGY</t>
  </si>
  <si>
    <t>REASON FOR CHANGE</t>
  </si>
  <si>
    <t>SPS CERTIFICATION TYPE REQUIRED FOR EXPORT</t>
  </si>
  <si>
    <t>STOCK LOSS RISK</t>
  </si>
  <si>
    <t>STRATEGIC CLASSIFICATION</t>
  </si>
  <si>
    <t>TIER</t>
  </si>
  <si>
    <t>VAT - BUYING TAX INDICATOR</t>
  </si>
  <si>
    <t>VAT - SELLING TAX INDICATOR</t>
  </si>
  <si>
    <t>WHERE PRODUCT IS TO BE SOLD</t>
  </si>
  <si>
    <t>YN</t>
  </si>
  <si>
    <t>SRT dimensions (Height, Depth, Width in cm)</t>
  </si>
  <si>
    <t>Home Page</t>
  </si>
  <si>
    <t>Please note Macros must be enabled to use this document</t>
  </si>
  <si>
    <t>PAL Document for Multi-Categories</t>
  </si>
  <si>
    <t>Current PAL View</t>
  </si>
  <si>
    <t>Choose Role:</t>
  </si>
  <si>
    <t>Click here to view all PAL columns:</t>
  </si>
  <si>
    <t>Use these buttons to view your data, filtered only to show relevent columns</t>
  </si>
  <si>
    <t>PAL - Product Attribute List</t>
  </si>
  <si>
    <t>PD - Auto Calculated</t>
  </si>
  <si>
    <t>Buyer - auto calculated</t>
  </si>
  <si>
    <t>PROJECT NAME
(YY-YY Project Category)</t>
  </si>
  <si>
    <t>N/A</t>
  </si>
  <si>
    <t xml:space="preserve"> </t>
  </si>
  <si>
    <t>PAL MEETING MINUTES FOR:</t>
  </si>
  <si>
    <t xml:space="preserve">CATEGORY: </t>
  </si>
  <si>
    <t xml:space="preserve">DATE: </t>
  </si>
  <si>
    <t>ATTENDEES</t>
  </si>
  <si>
    <t>APOLOGIES</t>
  </si>
  <si>
    <t>LINK TO CRITICAL PATH:</t>
  </si>
  <si>
    <t>DESIGN BRIEF LINK:</t>
  </si>
  <si>
    <t>LAUNCH DATES:</t>
  </si>
  <si>
    <t>PLANNED:</t>
  </si>
  <si>
    <t>ACTUAL:</t>
  </si>
  <si>
    <t>SUMMARY OF NUMBERS ON ORIGINAL PLAN:</t>
  </si>
  <si>
    <t>N:</t>
  </si>
  <si>
    <t>NSV:</t>
  </si>
  <si>
    <t>ESV:</t>
  </si>
  <si>
    <t>UG:</t>
  </si>
  <si>
    <t>RP:</t>
  </si>
  <si>
    <t>RI:</t>
  </si>
  <si>
    <t>Elim:</t>
  </si>
  <si>
    <t>TOTAL:</t>
  </si>
  <si>
    <t>SUMMARY OF NUMBERS AGREED:</t>
  </si>
  <si>
    <t xml:space="preserve">DETAIL </t>
  </si>
  <si>
    <t>OWNER</t>
  </si>
  <si>
    <t>COMPLETION DATE</t>
  </si>
  <si>
    <t>Include agreed outcome of meeting Go/No Go/ Hold/ Recycle</t>
  </si>
  <si>
    <t>Update numbers on NPD tracker</t>
  </si>
  <si>
    <t>Batch</t>
  </si>
  <si>
    <t>FINALISE GATE DATE</t>
  </si>
  <si>
    <t>BATON HANDOVER</t>
  </si>
  <si>
    <t>UK FTP DATES</t>
  </si>
  <si>
    <t>1f.04</t>
  </si>
  <si>
    <t>1f.12</t>
  </si>
  <si>
    <t>1f.24</t>
  </si>
  <si>
    <t>1f.42</t>
  </si>
  <si>
    <t>2f.04</t>
  </si>
  <si>
    <t>2f.12</t>
  </si>
  <si>
    <t>2f.24</t>
  </si>
  <si>
    <t>2f.42</t>
  </si>
  <si>
    <t>3f.04</t>
  </si>
  <si>
    <t>3f.12</t>
  </si>
  <si>
    <t>3f.24</t>
  </si>
  <si>
    <t>3f.42</t>
  </si>
  <si>
    <t>4f.04</t>
  </si>
  <si>
    <t>4f.12</t>
  </si>
  <si>
    <t>4f.24</t>
  </si>
  <si>
    <t>4f.42</t>
  </si>
  <si>
    <t>5f.04</t>
  </si>
  <si>
    <t>5f.12</t>
  </si>
  <si>
    <t>5f.24</t>
  </si>
  <si>
    <t>5f.42</t>
  </si>
  <si>
    <t>6f.04</t>
  </si>
  <si>
    <t>6f.12</t>
  </si>
  <si>
    <t>6f.24</t>
  </si>
  <si>
    <t>6f.42</t>
  </si>
  <si>
    <t>7f.04</t>
  </si>
  <si>
    <t>7f.12</t>
  </si>
  <si>
    <t>7f.24</t>
  </si>
  <si>
    <t>7f.42</t>
  </si>
  <si>
    <t>8f.04</t>
  </si>
  <si>
    <t>8f.12</t>
  </si>
  <si>
    <t>8f.24</t>
  </si>
  <si>
    <t>8f.42</t>
  </si>
  <si>
    <t>9f.04</t>
  </si>
  <si>
    <t>9f.12</t>
  </si>
  <si>
    <t>9f.24</t>
  </si>
  <si>
    <t>9f.42</t>
  </si>
  <si>
    <t>10f.04</t>
  </si>
  <si>
    <t>10f.12</t>
  </si>
  <si>
    <t>10f.24</t>
  </si>
  <si>
    <t>10f.42</t>
  </si>
  <si>
    <t>11f.04</t>
  </si>
  <si>
    <t>11f.12</t>
  </si>
  <si>
    <t>11f.24</t>
  </si>
  <si>
    <t>11f.42</t>
  </si>
  <si>
    <t>12f.04</t>
  </si>
  <si>
    <t>12f.12</t>
  </si>
  <si>
    <t>12f.24</t>
  </si>
  <si>
    <t>12f.42</t>
  </si>
  <si>
    <t>13f.04</t>
  </si>
  <si>
    <t>13f.12</t>
  </si>
  <si>
    <t>13f.24</t>
  </si>
  <si>
    <t>13f.42</t>
  </si>
  <si>
    <t>14f.04</t>
  </si>
  <si>
    <t>14f.12</t>
  </si>
  <si>
    <t>14f.24</t>
  </si>
  <si>
    <t>14f.42</t>
  </si>
  <si>
    <t>15f.04</t>
  </si>
  <si>
    <t>15f.12</t>
  </si>
  <si>
    <t>15f.24</t>
  </si>
  <si>
    <t>15f.42</t>
  </si>
  <si>
    <t>16f.04</t>
  </si>
  <si>
    <t>16f.12</t>
  </si>
  <si>
    <t>16f.24</t>
  </si>
  <si>
    <t>16f.42</t>
  </si>
  <si>
    <t>17f.04</t>
  </si>
  <si>
    <t>17f.12</t>
  </si>
  <si>
    <t>17f.24</t>
  </si>
  <si>
    <t>17f.42</t>
  </si>
  <si>
    <t>18f.04</t>
  </si>
  <si>
    <t>18f.12</t>
  </si>
  <si>
    <t>18f.24</t>
  </si>
  <si>
    <t>18f.42</t>
  </si>
  <si>
    <t>19f.04</t>
  </si>
  <si>
    <t>19f.12</t>
  </si>
  <si>
    <t>19f.24</t>
  </si>
  <si>
    <t>19f.42</t>
  </si>
  <si>
    <t>20f.04</t>
  </si>
  <si>
    <t>20f.12</t>
  </si>
  <si>
    <t>20f.24</t>
  </si>
  <si>
    <t>20f.42</t>
  </si>
  <si>
    <t>21f.04</t>
  </si>
  <si>
    <t>21f.12</t>
  </si>
  <si>
    <t>21f.24</t>
  </si>
  <si>
    <t>21f.42</t>
  </si>
  <si>
    <t>22f.04</t>
  </si>
  <si>
    <t>22f.12</t>
  </si>
  <si>
    <t>22f.24</t>
  </si>
  <si>
    <t>22f.42</t>
  </si>
  <si>
    <t>23f.04</t>
  </si>
  <si>
    <t>23f.12</t>
  </si>
  <si>
    <t>23f.24</t>
  </si>
  <si>
    <t>23f.42</t>
  </si>
  <si>
    <t>24f.04</t>
  </si>
  <si>
    <t>24f.12</t>
  </si>
  <si>
    <t>24f.24</t>
  </si>
  <si>
    <t>24f.42</t>
  </si>
  <si>
    <t>25f.04</t>
  </si>
  <si>
    <t>25f.12</t>
  </si>
  <si>
    <t>25f.24</t>
  </si>
  <si>
    <t>25f.42</t>
  </si>
  <si>
    <t>1g.04</t>
  </si>
  <si>
    <t>1g.12</t>
  </si>
  <si>
    <t>1g.24</t>
  </si>
  <si>
    <t>1g.42</t>
  </si>
  <si>
    <t>2g.04</t>
  </si>
  <si>
    <t>2g.12</t>
  </si>
  <si>
    <t>2g.24</t>
  </si>
  <si>
    <t>2g.42</t>
  </si>
  <si>
    <t>3g.04</t>
  </si>
  <si>
    <t>3g.12</t>
  </si>
  <si>
    <t>3g.24</t>
  </si>
  <si>
    <t>3g.42</t>
  </si>
  <si>
    <t>4g.04</t>
  </si>
  <si>
    <t>4g.12</t>
  </si>
  <si>
    <t>4g.24</t>
  </si>
  <si>
    <t>4g.42</t>
  </si>
  <si>
    <t>5g.04</t>
  </si>
  <si>
    <t>5g.12</t>
  </si>
  <si>
    <t>5g.24</t>
  </si>
  <si>
    <t>5g.42</t>
  </si>
  <si>
    <t>6g.04</t>
  </si>
  <si>
    <t>6g.12</t>
  </si>
  <si>
    <t>6g.24</t>
  </si>
  <si>
    <t>6g.42</t>
  </si>
  <si>
    <t>7g.04</t>
  </si>
  <si>
    <t>7g.12</t>
  </si>
  <si>
    <t>7g.24</t>
  </si>
  <si>
    <t>7g.42</t>
  </si>
  <si>
    <t>8g.04</t>
  </si>
  <si>
    <t>8g.12</t>
  </si>
  <si>
    <t>8g.24</t>
  </si>
  <si>
    <t>8g.42</t>
  </si>
  <si>
    <t>9g.04</t>
  </si>
  <si>
    <t>9g.12</t>
  </si>
  <si>
    <t>9g.24</t>
  </si>
  <si>
    <t>9g.42</t>
  </si>
  <si>
    <t>10g.04</t>
  </si>
  <si>
    <t>10g.12</t>
  </si>
  <si>
    <t>10g.24</t>
  </si>
  <si>
    <t>10g.42</t>
  </si>
  <si>
    <t>11g.04</t>
  </si>
  <si>
    <t>11g.12</t>
  </si>
  <si>
    <t>11g.24</t>
  </si>
  <si>
    <t>11g.42</t>
  </si>
  <si>
    <t>12g.04</t>
  </si>
  <si>
    <t>12g.12</t>
  </si>
  <si>
    <t>12g.24</t>
  </si>
  <si>
    <t>12g.42</t>
  </si>
  <si>
    <t>13g.04</t>
  </si>
  <si>
    <t>13g.12</t>
  </si>
  <si>
    <t>13g.24</t>
  </si>
  <si>
    <t>13g.42</t>
  </si>
  <si>
    <t>14g.04</t>
  </si>
  <si>
    <t>14g.12</t>
  </si>
  <si>
    <t>14g.24</t>
  </si>
  <si>
    <t>14g.42</t>
  </si>
  <si>
    <t>15g.04</t>
  </si>
  <si>
    <t>15g.12</t>
  </si>
  <si>
    <t>15g.24</t>
  </si>
  <si>
    <t>15g.42</t>
  </si>
  <si>
    <t>16g.04</t>
  </si>
  <si>
    <t>16g.12</t>
  </si>
  <si>
    <t>16g.24</t>
  </si>
  <si>
    <t>16g.42</t>
  </si>
  <si>
    <t>17g.04</t>
  </si>
  <si>
    <t>17g.12</t>
  </si>
  <si>
    <t>17g.24</t>
  </si>
  <si>
    <t>17g.42</t>
  </si>
  <si>
    <t>18g.04</t>
  </si>
  <si>
    <t>18g.12</t>
  </si>
  <si>
    <t>18g.24</t>
  </si>
  <si>
    <t>18g.42</t>
  </si>
  <si>
    <t>19g.04</t>
  </si>
  <si>
    <t>19g.12</t>
  </si>
  <si>
    <t>19g.24</t>
  </si>
  <si>
    <t>19g.42</t>
  </si>
  <si>
    <t>20g.04</t>
  </si>
  <si>
    <t>20g.12</t>
  </si>
  <si>
    <t>20g.24</t>
  </si>
  <si>
    <t>20g.42</t>
  </si>
  <si>
    <t>21g.04</t>
  </si>
  <si>
    <t>21g.12</t>
  </si>
  <si>
    <t>21g.24</t>
  </si>
  <si>
    <t>21g.42</t>
  </si>
  <si>
    <t>22g.04</t>
  </si>
  <si>
    <t>22g.12</t>
  </si>
  <si>
    <t>22g.24</t>
  </si>
  <si>
    <t>22g.42</t>
  </si>
  <si>
    <t>23g.04</t>
  </si>
  <si>
    <t>23g.12</t>
  </si>
  <si>
    <t>23g.24</t>
  </si>
  <si>
    <t>23g.42</t>
  </si>
  <si>
    <t>24g.04</t>
  </si>
  <si>
    <t>24g.12</t>
  </si>
  <si>
    <t>24g.24</t>
  </si>
  <si>
    <t>24g.42</t>
  </si>
  <si>
    <t>25g.04</t>
  </si>
  <si>
    <t>25g.12</t>
  </si>
  <si>
    <t>25g.24</t>
  </si>
  <si>
    <t>25g.42</t>
  </si>
  <si>
    <t>Project Status</t>
  </si>
  <si>
    <t>Project Launch Phase</t>
  </si>
  <si>
    <t>Project Completion Date</t>
  </si>
  <si>
    <t>Project Type</t>
  </si>
  <si>
    <t>projectName</t>
  </si>
  <si>
    <t>launchPhase</t>
  </si>
  <si>
    <t>inDepotDate</t>
  </si>
  <si>
    <t>status</t>
  </si>
  <si>
    <t>criticalPathRequired</t>
  </si>
  <si>
    <t>reasonsForChange</t>
  </si>
  <si>
    <t>ftpDate</t>
  </si>
  <si>
    <t>category</t>
  </si>
  <si>
    <t>upc</t>
  </si>
  <si>
    <t>productTitle</t>
  </si>
  <si>
    <t>IN-DEPOT DATE</t>
  </si>
  <si>
    <t>PRODUCT TITLE</t>
  </si>
  <si>
    <t>PRODUCT SUBTITLE</t>
  </si>
  <si>
    <t>productComments</t>
  </si>
  <si>
    <t>productSubTitle</t>
  </si>
  <si>
    <t>strategicClassification</t>
  </si>
  <si>
    <t>productNeedState</t>
  </si>
  <si>
    <t>productFileType</t>
  </si>
  <si>
    <t>heroProduct</t>
  </si>
  <si>
    <t>productQualityStory</t>
  </si>
  <si>
    <t>tier</t>
  </si>
  <si>
    <t>printerType</t>
  </si>
  <si>
    <t>printerName</t>
  </si>
  <si>
    <t>printedPackagingType</t>
  </si>
  <si>
    <t>consumerPackagingType</t>
  </si>
  <si>
    <t>photographyRequired</t>
  </si>
  <si>
    <t>designRoute</t>
  </si>
  <si>
    <t>secondaryDesignRoute</t>
  </si>
  <si>
    <t>fopReqLogos</t>
  </si>
  <si>
    <t>cutterType</t>
  </si>
  <si>
    <t>cutterReference</t>
  </si>
  <si>
    <t>finaliseGate</t>
  </si>
  <si>
    <t>designConceptHandover</t>
  </si>
  <si>
    <t>batonHandover</t>
  </si>
  <si>
    <t>weightOrVolume</t>
  </si>
  <si>
    <t>unitOfMeasure</t>
  </si>
  <si>
    <t>supplierName</t>
  </si>
  <si>
    <t>supplierSiteCode</t>
  </si>
  <si>
    <t>newSupplier</t>
  </si>
  <si>
    <t>masterVendor</t>
  </si>
  <si>
    <t>SOLD IN FRANCE</t>
  </si>
  <si>
    <t>soldInFrance</t>
  </si>
  <si>
    <t>mcr</t>
  </si>
  <si>
    <t>productSoldIn</t>
  </si>
  <si>
    <t>ftoOrEbo</t>
  </si>
  <si>
    <t>ocadoExworks</t>
  </si>
  <si>
    <t>mnsOcadoGrossPrice</t>
  </si>
  <si>
    <t>mnsGrossPrice</t>
  </si>
  <si>
    <t>agreedCostPriceCurrency</t>
  </si>
  <si>
    <t>sellingPrice</t>
  </si>
  <si>
    <t>pricePerX</t>
  </si>
  <si>
    <t>vatBuyingTaxIndicator</t>
  </si>
  <si>
    <t>vatSellingTaxIndicator</t>
  </si>
  <si>
    <t>vatTeamConfirmed</t>
  </si>
  <si>
    <t>margin</t>
  </si>
  <si>
    <t>moq</t>
  </si>
  <si>
    <t>fixedBuy</t>
  </si>
  <si>
    <t>maximumVolumeAvailable</t>
  </si>
  <si>
    <t>fixedBuyCommitmentDeadline</t>
  </si>
  <si>
    <t>orderLeadtimeSupplyChain</t>
  </si>
  <si>
    <t>upt</t>
  </si>
  <si>
    <t>traySellingValue</t>
  </si>
  <si>
    <t>trayCostValue</t>
  </si>
  <si>
    <t>promoForLaunch</t>
  </si>
  <si>
    <t>pricingPolicy</t>
  </si>
  <si>
    <t>productComparison</t>
  </si>
  <si>
    <t>proposedNoOfStores</t>
  </si>
  <si>
    <t>modelProduct</t>
  </si>
  <si>
    <t>successCriteria</t>
  </si>
  <si>
    <t>averageWeeklySalesMandS</t>
  </si>
  <si>
    <t>averageWeeklyVolumeMandS</t>
  </si>
  <si>
    <t>averageWeeklyVolumeOcado</t>
  </si>
  <si>
    <t>catchweightOrFixedweight</t>
  </si>
  <si>
    <t>finishedGoodsDimensionsHeight</t>
  </si>
  <si>
    <t>finishedGoodsDimensionsWidth</t>
  </si>
  <si>
    <t>finishedGoodsDimensionsDepth</t>
  </si>
  <si>
    <t>orientation</t>
  </si>
  <si>
    <t>srpRequired</t>
  </si>
  <si>
    <t>srpDimensionsHeight</t>
  </si>
  <si>
    <t>SRP dimensions Height (cm)</t>
  </si>
  <si>
    <t>SRP dimensions Depth (cm)</t>
  </si>
  <si>
    <t>SRP dimensions Width (cm)</t>
  </si>
  <si>
    <t>srpDimensionsWidth</t>
  </si>
  <si>
    <t>srpDimensionsDepth</t>
  </si>
  <si>
    <t>productLife</t>
  </si>
  <si>
    <t>sustainability</t>
  </si>
  <si>
    <t>bannedIngredientsForInternational</t>
  </si>
  <si>
    <t>spsCertificationTypeRequiredForExport</t>
  </si>
  <si>
    <t>legalStatus</t>
  </si>
  <si>
    <t>multipleCountryOfOrigins</t>
  </si>
  <si>
    <t>feasibility</t>
  </si>
  <si>
    <t>dateCodeVisibility</t>
  </si>
  <si>
    <t>HFSS</t>
  </si>
  <si>
    <t>Travel Test Required</t>
  </si>
  <si>
    <t>hfss</t>
  </si>
  <si>
    <t>travelTestRequired</t>
  </si>
  <si>
    <t>buyer</t>
  </si>
  <si>
    <t>productDeveloper</t>
  </si>
  <si>
    <t>foodTechnologist</t>
  </si>
  <si>
    <t>CHILD PRODUCT TITLE</t>
  </si>
  <si>
    <t>CHILD UPC</t>
  </si>
  <si>
    <t>PARENT UPC</t>
  </si>
  <si>
    <t>PARENT PRODUCT TITLE</t>
  </si>
  <si>
    <t>childProductTitle</t>
  </si>
  <si>
    <t>childUpc</t>
  </si>
  <si>
    <t>Multipack Children Fields</t>
  </si>
  <si>
    <t>childSupplierName</t>
  </si>
  <si>
    <t>childSupplierSiteCode</t>
  </si>
  <si>
    <t>childComments</t>
  </si>
  <si>
    <t>Multiple Artwork Fields</t>
  </si>
  <si>
    <t>Product Title</t>
  </si>
  <si>
    <t>multipleArtworkComments</t>
  </si>
  <si>
    <t>PAL DB Fields</t>
  </si>
  <si>
    <t>MultiChild DB Fields</t>
  </si>
  <si>
    <t>MultiArtwork DB Fields</t>
  </si>
  <si>
    <t>productGroupCode</t>
  </si>
  <si>
    <t>PRODUCT GROUP CODE</t>
  </si>
  <si>
    <t>soldInOcado</t>
  </si>
  <si>
    <t>SOLD IN OCADO</t>
  </si>
  <si>
    <t>RANGE ACTIVITY CODE (RAC)</t>
  </si>
  <si>
    <t>rangeActivityCode</t>
  </si>
  <si>
    <t>DISPLAY GROUP</t>
  </si>
  <si>
    <t>RANGE</t>
  </si>
  <si>
    <t>SUB-RANGE</t>
  </si>
  <si>
    <t>range</t>
  </si>
  <si>
    <t>subRange</t>
  </si>
  <si>
    <t>SMP Approved</t>
  </si>
  <si>
    <t xml:space="preserve">Route to Market </t>
  </si>
  <si>
    <t>routeToMarket</t>
  </si>
  <si>
    <t>productType</t>
  </si>
  <si>
    <t>smpApproved</t>
  </si>
  <si>
    <t>displayGroup</t>
  </si>
  <si>
    <t>vatComment</t>
  </si>
  <si>
    <t>International Comments</t>
  </si>
  <si>
    <t>internationalComments</t>
  </si>
  <si>
    <t>Summer 2022</t>
  </si>
  <si>
    <t>Draft</t>
  </si>
  <si>
    <t>2018-2019</t>
  </si>
  <si>
    <t>Rolling</t>
  </si>
  <si>
    <t>test</t>
  </si>
  <si>
    <t>In Progress</t>
  </si>
  <si>
    <t>234</t>
  </si>
  <si>
    <t>Standard</t>
  </si>
  <si>
    <t>Size Variant</t>
  </si>
  <si>
    <t>12</t>
  </si>
  <si>
    <t>kg</t>
  </si>
  <si>
    <t>2021-2022 Christmas Delicatessen</t>
  </si>
  <si>
    <t>2021/22</t>
  </si>
  <si>
    <t>29/09/2021</t>
  </si>
  <si>
    <t>30/09/2021</t>
  </si>
  <si>
    <t>P05 AUG 2020</t>
  </si>
  <si>
    <t>buyer@xyz.com</t>
  </si>
  <si>
    <t>productDeveloper@xyz.com</t>
  </si>
  <si>
    <t>foodTechnologist@xyz.com</t>
  </si>
  <si>
    <t>CP3 - TECH/GSP</t>
  </si>
  <si>
    <t>NE</t>
  </si>
  <si>
    <t>01/02/2022</t>
  </si>
  <si>
    <t>300</t>
  </si>
  <si>
    <t>gms</t>
  </si>
  <si>
    <t>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</si>
</sst>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44" formatCode="_-&quot;£&quot;* #,##0.00_-;\-&quot;£&quot;* #,##0.00_-;_-&quot;£&quot;* &quot;-&quot;??_-;_-@_-"/>
    <numFmt numFmtId="164" formatCode="0.0%"/>
    <numFmt numFmtId="165" formatCode="_-[$£-809]* #,##0_-;\-[$£-809]* #,##0_-;_-[$£-809]* &quot;-&quot;??_-;_-@_-"/>
  </numFmts>
  <fonts count="4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sz val="9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name val="Calibri"/>
      <family val="2"/>
      <scheme val="minor"/>
    </font>
    <font>
      <sz val="7"/>
      <color indexed="8"/>
      <name val="Calibri"/>
      <family val="2"/>
      <scheme val="minor"/>
    </font>
    <font>
      <sz val="7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  <scheme val="minor"/>
    </font>
    <font>
      <sz val="8"/>
      <color rgb="FF000000"/>
      <name val="Segoe UI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6EED5"/>
        <bgColor indexed="64"/>
      </patternFill>
    </fill>
    <fill>
      <patternFill patternType="solid">
        <fgColor rgb="FFCDDDAC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7E6B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2DCDB"/>
        <bgColor rgb="FF000000"/>
      </patternFill>
    </fill>
    <fill>
      <patternFill patternType="solid">
        <fgColor rgb="FFD7D7D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mediumDashed">
        <color indexed="64"/>
      </top>
      <bottom/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rgb="FFB3CC82"/>
      </right>
      <top style="medium">
        <color rgb="FFB3CC82"/>
      </top>
      <bottom style="medium">
        <color rgb="FFB3CC82"/>
      </bottom>
      <diagonal/>
    </border>
    <border>
      <left style="medium">
        <color rgb="FFB3CC82"/>
      </left>
      <right style="medium">
        <color rgb="FFB3CC82"/>
      </right>
      <top/>
      <bottom style="medium">
        <color rgb="FFB3CC82"/>
      </bottom>
      <diagonal/>
    </border>
    <border>
      <left/>
      <right style="medium">
        <color rgb="FFB3CC82"/>
      </right>
      <top/>
      <bottom style="medium">
        <color rgb="FFB3CC82"/>
      </bottom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 style="medium">
        <color rgb="FFC2D69B"/>
      </bottom>
      <diagonal/>
    </border>
    <border>
      <left/>
      <right style="medium">
        <color rgb="FFC2D69B"/>
      </right>
      <top style="medium">
        <color rgb="FFC2D69B"/>
      </top>
      <bottom style="medium">
        <color rgb="FFC2D69B"/>
      </bottom>
      <diagonal/>
    </border>
    <border>
      <left style="medium">
        <color rgb="FFC2D69B"/>
      </left>
      <right style="medium">
        <color rgb="FFC2D69B"/>
      </right>
      <top/>
      <bottom style="medium">
        <color rgb="FFC2D69B"/>
      </bottom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/>
      <right style="medium">
        <color rgb="FF9BBB59"/>
      </right>
      <top style="medium">
        <color rgb="FF9BBB59"/>
      </top>
      <bottom style="thick">
        <color rgb="FF9BBB59"/>
      </bottom>
      <diagonal/>
    </border>
    <border>
      <left/>
      <right style="medium">
        <color rgb="FF9BBB59"/>
      </right>
      <top/>
      <bottom style="medium">
        <color rgb="FF9BBB59"/>
      </bottom>
      <diagonal/>
    </border>
    <border>
      <left style="medium">
        <color rgb="FFB3CC82"/>
      </left>
      <right/>
      <top style="medium">
        <color rgb="FFB3CC82"/>
      </top>
      <bottom style="medium">
        <color rgb="FFB3CC82"/>
      </bottom>
      <diagonal/>
    </border>
    <border>
      <left/>
      <right/>
      <top/>
      <bottom style="medium">
        <color rgb="FFB3CC82"/>
      </bottom>
      <diagonal/>
    </border>
    <border>
      <left/>
      <right/>
      <top style="medium">
        <color rgb="FFC2D69B"/>
      </top>
      <bottom style="medium">
        <color rgb="FFC2D69B"/>
      </bottom>
      <diagonal/>
    </border>
    <border>
      <left style="medium">
        <color rgb="FFC2D69B"/>
      </left>
      <right/>
      <top style="medium">
        <color rgb="FFC2D69B"/>
      </top>
      <bottom style="medium">
        <color rgb="FFC2D69B"/>
      </bottom>
      <diagonal/>
    </border>
    <border>
      <left/>
      <right/>
      <top style="medium">
        <color rgb="FF9BBB59"/>
      </top>
      <bottom style="thick">
        <color rgb="FF9BBB59"/>
      </bottom>
      <diagonal/>
    </border>
    <border>
      <left/>
      <right/>
      <top style="medium">
        <color rgb="FF9BBB59"/>
      </top>
      <bottom style="medium">
        <color rgb="FF9BBB59"/>
      </bottom>
      <diagonal/>
    </border>
    <border>
      <left/>
      <right style="medium">
        <color rgb="FF9BBB59"/>
      </right>
      <top style="medium">
        <color rgb="FF9BBB59"/>
      </top>
      <bottom style="medium">
        <color rgb="FF9BBB59"/>
      </bottom>
      <diagonal/>
    </border>
    <border>
      <left/>
      <right/>
      <top style="thick">
        <color rgb="FF9BBB59"/>
      </top>
      <bottom style="medium">
        <color rgb="FF9BBB59"/>
      </bottom>
      <diagonal/>
    </border>
    <border>
      <left/>
      <right style="medium">
        <color rgb="FF9BBB59"/>
      </right>
      <top style="thick">
        <color rgb="FF9BBB59"/>
      </top>
      <bottom style="medium">
        <color rgb="FF9BBB59"/>
      </bottom>
      <diagonal/>
    </border>
    <border>
      <left/>
      <right/>
      <top style="medium">
        <color rgb="FFB3CC82"/>
      </top>
      <bottom style="medium">
        <color rgb="FFB3CC82"/>
      </bottom>
      <diagonal/>
    </border>
    <border>
      <left style="medium">
        <color rgb="FFB3CC82"/>
      </left>
      <right/>
      <top/>
      <bottom style="medium">
        <color rgb="FFB3CC82"/>
      </bottom>
      <diagonal/>
    </border>
    <border>
      <left style="medium">
        <color rgb="FF9BBB59"/>
      </left>
      <right/>
      <top style="medium">
        <color rgb="FF9BBB59"/>
      </top>
      <bottom style="thick">
        <color rgb="FF9BBB59"/>
      </bottom>
      <diagonal/>
    </border>
    <border>
      <left style="medium">
        <color rgb="FF9BBB59"/>
      </left>
      <right/>
      <top style="thick">
        <color rgb="FF9BBB59"/>
      </top>
      <bottom style="medium">
        <color rgb="FF9BBB59"/>
      </bottom>
      <diagonal/>
    </border>
    <border>
      <left style="medium">
        <color rgb="FF9BBB59"/>
      </left>
      <right/>
      <top style="medium">
        <color rgb="FF9BBB59"/>
      </top>
      <bottom style="medium">
        <color rgb="FF9BBB5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bottom style="thin"/>
    </border>
    <border>
      <bottom style="thin">
        <color indexed="8"/>
      </bottom>
    </border>
    <border>
      <top style="thin"/>
      <bottom style="thin">
        <color indexed="8"/>
      </bottom>
    </border>
    <border>
      <top style="thin">
        <color indexed="8"/>
      </top>
      <bottom style="thin">
        <color indexed="8"/>
      </bottom>
    </border>
    <border>
      <left style="thin"/>
      <top style="thin">
        <color indexed="8"/>
      </top>
      <bottom style="thin">
        <color indexed="8"/>
      </bottom>
    </border>
    <border>
      <left style="thin">
        <color indexed="8"/>
      </left>
      <top style="thin">
        <color indexed="8"/>
      </top>
      <bottom style="thin">
        <color indexed="8"/>
      </bottom>
    </border>
    <border>
      <left style="thin">
        <color indexed="8"/>
      </left>
      <right style="thin"/>
      <top style="thin">
        <color indexed="8"/>
      </top>
      <bottom style="thin">
        <color indexed="8"/>
      </bottom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2" fillId="0" borderId="0"/>
  </cellStyleXfs>
  <cellXfs count="246">
    <xf numFmtId="0" fontId="0" fillId="0" borderId="0" xfId="0"/>
    <xf numFmtId="0" fontId="0" fillId="10" borderId="0" xfId="0" applyFill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0" fillId="0" borderId="10" xfId="0" applyBorder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11" borderId="0" xfId="0" applyFill="1" applyAlignment="1">
      <alignment vertical="center" wrapText="1"/>
    </xf>
    <xf numFmtId="0" fontId="8" fillId="12" borderId="0" xfId="0" applyFont="1" applyFill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4" fillId="14" borderId="16" xfId="0" applyFont="1" applyFill="1" applyBorder="1" applyAlignment="1">
      <alignment vertical="center" wrapText="1"/>
    </xf>
    <xf numFmtId="0" fontId="4" fillId="13" borderId="16" xfId="0" applyFont="1" applyFill="1" applyBorder="1" applyAlignment="1">
      <alignment vertical="center" wrapText="1"/>
    </xf>
    <xf numFmtId="0" fontId="4" fillId="13" borderId="18" xfId="0" applyFont="1" applyFill="1" applyBorder="1" applyAlignment="1">
      <alignment vertical="center" wrapText="1"/>
    </xf>
    <xf numFmtId="0" fontId="4" fillId="14" borderId="20" xfId="0" applyFont="1" applyFill="1" applyBorder="1" applyAlignment="1">
      <alignment vertical="center" wrapText="1"/>
    </xf>
    <xf numFmtId="0" fontId="4" fillId="13" borderId="20" xfId="0" applyFont="1" applyFill="1" applyBorder="1" applyAlignment="1">
      <alignment vertical="center" wrapText="1"/>
    </xf>
    <xf numFmtId="0" fontId="3" fillId="13" borderId="21" xfId="0" applyFont="1" applyFill="1" applyBorder="1" applyAlignment="1">
      <alignment vertical="center" wrapText="1"/>
    </xf>
    <xf numFmtId="0" fontId="3" fillId="14" borderId="21" xfId="0" applyFont="1" applyFill="1" applyBorder="1" applyAlignment="1">
      <alignment vertical="center" wrapText="1"/>
    </xf>
    <xf numFmtId="0" fontId="11" fillId="0" borderId="22" xfId="0" applyFont="1" applyBorder="1" applyAlignment="1">
      <alignment vertical="center" wrapText="1"/>
    </xf>
    <xf numFmtId="0" fontId="12" fillId="13" borderId="23" xfId="0" applyFont="1" applyFill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3" fillId="13" borderId="23" xfId="0" applyFont="1" applyFill="1" applyBorder="1" applyAlignment="1">
      <alignment vertical="center" wrapText="1"/>
    </xf>
    <xf numFmtId="0" fontId="0" fillId="13" borderId="21" xfId="0" applyFill="1" applyBorder="1" applyAlignment="1">
      <alignment vertical="center" wrapText="1"/>
    </xf>
    <xf numFmtId="0" fontId="0" fillId="14" borderId="21" xfId="0" applyFill="1" applyBorder="1" applyAlignment="1">
      <alignment vertical="center" wrapText="1"/>
    </xf>
    <xf numFmtId="0" fontId="14" fillId="0" borderId="0" xfId="2"/>
    <xf numFmtId="0" fontId="9" fillId="0" borderId="0" xfId="0" applyFont="1" applyAlignment="1">
      <alignment horizontal="left" vertical="center"/>
    </xf>
    <xf numFmtId="0" fontId="0" fillId="0" borderId="0" xfId="0" applyProtection="1">
      <protection locked="0"/>
    </xf>
    <xf numFmtId="0" fontId="17" fillId="0" borderId="0" xfId="0" applyFont="1"/>
    <xf numFmtId="0" fontId="17" fillId="0" borderId="39" xfId="0" applyFont="1" applyBorder="1"/>
    <xf numFmtId="0" fontId="21" fillId="0" borderId="0" xfId="0" applyFont="1" applyAlignment="1">
      <alignment wrapText="1"/>
    </xf>
    <xf numFmtId="0" fontId="19" fillId="16" borderId="0" xfId="0" applyFont="1" applyFill="1" applyAlignment="1">
      <alignment horizontal="left" vertical="top"/>
    </xf>
    <xf numFmtId="0" fontId="0" fillId="16" borderId="0" xfId="0" applyFill="1"/>
    <xf numFmtId="0" fontId="0" fillId="16" borderId="0" xfId="0" applyFill="1" applyAlignment="1">
      <alignment horizontal="center"/>
    </xf>
    <xf numFmtId="0" fontId="21" fillId="16" borderId="0" xfId="0" applyFont="1" applyFill="1" applyAlignment="1">
      <alignment horizontal="center" wrapText="1"/>
    </xf>
    <xf numFmtId="0" fontId="16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6" fillId="0" borderId="0" xfId="0" applyFont="1"/>
    <xf numFmtId="0" fontId="27" fillId="0" borderId="0" xfId="0" applyFont="1"/>
    <xf numFmtId="0" fontId="17" fillId="0" borderId="14" xfId="0" applyFont="1" applyBorder="1" applyAlignment="1">
      <alignment horizontal="center"/>
    </xf>
    <xf numFmtId="0" fontId="17" fillId="0" borderId="38" xfId="0" applyFont="1" applyBorder="1"/>
    <xf numFmtId="0" fontId="15" fillId="5" borderId="1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/>
    <xf numFmtId="0" fontId="25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0" fillId="2" borderId="0" xfId="0" applyFill="1" applyAlignment="1">
      <alignment vertical="center" wrapText="1"/>
    </xf>
    <xf numFmtId="0" fontId="15" fillId="5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15" fontId="0" fillId="0" borderId="0" xfId="0" applyNumberFormat="1"/>
    <xf numFmtId="0" fontId="17" fillId="0" borderId="44" xfId="0" applyFont="1" applyBorder="1" applyAlignment="1">
      <alignment horizontal="center"/>
    </xf>
    <xf numFmtId="0" fontId="4" fillId="12" borderId="0" xfId="0" applyFont="1" applyFill="1"/>
    <xf numFmtId="0" fontId="35" fillId="16" borderId="0" xfId="0" applyFont="1" applyFill="1"/>
    <xf numFmtId="0" fontId="4" fillId="9" borderId="0" xfId="0" applyFont="1" applyFill="1"/>
    <xf numFmtId="0" fontId="4" fillId="11" borderId="0" xfId="0" applyFont="1" applyFill="1"/>
    <xf numFmtId="0" fontId="4" fillId="2" borderId="0" xfId="0" applyFont="1" applyFill="1"/>
    <xf numFmtId="0" fontId="4" fillId="11" borderId="0" xfId="0" applyFont="1" applyFill="1" applyAlignment="1">
      <alignment wrapText="1"/>
    </xf>
    <xf numFmtId="44" fontId="0" fillId="7" borderId="0" xfId="4" applyFont="1" applyFill="1"/>
    <xf numFmtId="0" fontId="0" fillId="7" borderId="0" xfId="0" applyFill="1"/>
    <xf numFmtId="0" fontId="0" fillId="0" borderId="0" xfId="0" quotePrefix="1"/>
    <xf numFmtId="0" fontId="22" fillId="7" borderId="1" xfId="0" applyFont="1" applyFill="1" applyBorder="1" applyAlignment="1" applyProtection="1">
      <alignment horizontal="center" vertical="center" wrapText="1"/>
      <protection locked="0"/>
    </xf>
    <xf numFmtId="0" fontId="23" fillId="15" borderId="1" xfId="0" applyFont="1" applyFill="1" applyBorder="1" applyAlignment="1" applyProtection="1">
      <alignment horizontal="center" vertical="center" wrapText="1"/>
      <protection locked="0"/>
    </xf>
    <xf numFmtId="0" fontId="22" fillId="4" borderId="1" xfId="0" applyFont="1" applyFill="1" applyBorder="1" applyAlignment="1" applyProtection="1">
      <alignment horizontal="center" vertical="center" wrapText="1"/>
      <protection locked="0"/>
    </xf>
    <xf numFmtId="0" fontId="24" fillId="6" borderId="1" xfId="0" applyFont="1" applyFill="1" applyBorder="1" applyAlignment="1" applyProtection="1">
      <alignment horizontal="center" vertical="center" wrapText="1"/>
      <protection locked="0"/>
    </xf>
    <xf numFmtId="0" fontId="22" fillId="5" borderId="1" xfId="0" applyFont="1" applyFill="1" applyBorder="1" applyAlignment="1">
      <alignment horizontal="center" vertical="center" wrapText="1"/>
    </xf>
    <xf numFmtId="0" fontId="2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43" xfId="0" applyFont="1" applyFill="1" applyBorder="1" applyAlignment="1">
      <alignment horizontal="center" vertical="center"/>
    </xf>
    <xf numFmtId="0" fontId="29" fillId="3" borderId="40" xfId="0" applyFont="1" applyFill="1" applyBorder="1" applyAlignment="1">
      <alignment horizontal="centerContinuous"/>
    </xf>
    <xf numFmtId="0" fontId="30" fillId="3" borderId="41" xfId="0" applyFont="1" applyFill="1" applyBorder="1" applyAlignment="1">
      <alignment horizontal="centerContinuous"/>
    </xf>
    <xf numFmtId="0" fontId="30" fillId="3" borderId="42" xfId="0" applyFont="1" applyFill="1" applyBorder="1" applyAlignment="1">
      <alignment horizontal="centerContinuous"/>
    </xf>
    <xf numFmtId="0" fontId="17" fillId="0" borderId="44" xfId="0" quotePrefix="1" applyFont="1" applyBorder="1" applyAlignment="1">
      <alignment horizontal="center"/>
    </xf>
    <xf numFmtId="0" fontId="36" fillId="0" borderId="0" xfId="0" applyFont="1" applyAlignment="1">
      <alignment vertical="center"/>
    </xf>
    <xf numFmtId="0" fontId="28" fillId="16" borderId="0" xfId="0" applyFont="1" applyFill="1" applyAlignment="1">
      <alignment horizontal="center"/>
    </xf>
    <xf numFmtId="0" fontId="23" fillId="18" borderId="1" xfId="0" applyFont="1" applyFill="1" applyBorder="1" applyAlignment="1" applyProtection="1">
      <alignment horizontal="center" vertical="center" wrapText="1"/>
      <protection locked="0"/>
    </xf>
    <xf numFmtId="0" fontId="22" fillId="19" borderId="1" xfId="0" applyFont="1" applyFill="1" applyBorder="1" applyAlignment="1" applyProtection="1">
      <alignment horizontal="center" vertical="center" wrapText="1"/>
      <protection locked="0"/>
    </xf>
    <xf numFmtId="0" fontId="34" fillId="0" borderId="0" xfId="0" applyFont="1"/>
    <xf numFmtId="0" fontId="17" fillId="0" borderId="0" xfId="0" applyFont="1" applyAlignment="1">
      <alignment horizontal="center"/>
    </xf>
    <xf numFmtId="0" fontId="27" fillId="16" borderId="0" xfId="0" applyFont="1" applyFill="1" applyAlignment="1">
      <alignment horizontal="center"/>
    </xf>
    <xf numFmtId="0" fontId="22" fillId="5" borderId="1" xfId="0" applyFont="1" applyFill="1" applyBorder="1" applyAlignment="1" applyProtection="1">
      <alignment horizontal="center" vertical="center" wrapText="1"/>
      <protection locked="0"/>
    </xf>
    <xf numFmtId="0" fontId="15" fillId="20" borderId="1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vertical="center"/>
      <protection locked="0"/>
    </xf>
    <xf numFmtId="0" fontId="22" fillId="7" borderId="1" xfId="0" applyFont="1" applyFill="1" applyBorder="1" applyAlignment="1">
      <alignment horizontal="center" vertical="center" wrapText="1"/>
    </xf>
    <xf numFmtId="0" fontId="17" fillId="0" borderId="0" xfId="0" applyFont="1" applyAlignment="1" applyProtection="1">
      <alignment horizontal="center"/>
      <protection locked="0"/>
    </xf>
    <xf numFmtId="0" fontId="38" fillId="0" borderId="0" xfId="0" applyFont="1"/>
    <xf numFmtId="0" fontId="17" fillId="0" borderId="0" xfId="0" applyFont="1" applyProtection="1">
      <protection locked="0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/>
    </xf>
    <xf numFmtId="0" fontId="22" fillId="21" borderId="1" xfId="0" applyFont="1" applyFill="1" applyBorder="1" applyAlignment="1">
      <alignment horizontal="center" vertical="center" wrapText="1"/>
    </xf>
    <xf numFmtId="164" fontId="0" fillId="0" borderId="0" xfId="1" applyNumberFormat="1" applyFont="1" applyProtection="1"/>
    <xf numFmtId="164" fontId="17" fillId="0" borderId="0" xfId="1" applyNumberFormat="1" applyFont="1" applyFill="1" applyAlignment="1" applyProtection="1">
      <alignment vertical="center"/>
    </xf>
    <xf numFmtId="164" fontId="17" fillId="0" borderId="0" xfId="1" applyNumberFormat="1" applyFont="1" applyAlignment="1">
      <alignment horizontal="center"/>
    </xf>
    <xf numFmtId="164" fontId="22" fillId="4" borderId="1" xfId="1" applyNumberFormat="1" applyFont="1" applyFill="1" applyBorder="1" applyAlignment="1" applyProtection="1">
      <alignment horizontal="center" vertical="center" wrapText="1"/>
      <protection locked="0"/>
    </xf>
    <xf numFmtId="164" fontId="0" fillId="0" borderId="0" xfId="1" applyNumberFormat="1" applyFont="1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165" fontId="15" fillId="0" borderId="0" xfId="0" applyNumberFormat="1" applyFont="1"/>
    <xf numFmtId="165" fontId="15" fillId="0" borderId="0" xfId="0" applyNumberFormat="1" applyFont="1" applyAlignment="1">
      <alignment vertical="center"/>
    </xf>
    <xf numFmtId="165" fontId="17" fillId="0" borderId="0" xfId="0" applyNumberFormat="1" applyFont="1" applyAlignment="1">
      <alignment horizontal="center"/>
    </xf>
    <xf numFmtId="165" fontId="22" fillId="4" borderId="1" xfId="0" applyNumberFormat="1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40" fillId="5" borderId="1" xfId="0" applyFont="1" applyFill="1" applyBorder="1" applyAlignment="1" applyProtection="1">
      <alignment horizontal="center" vertical="center" wrapText="1"/>
      <protection locked="0"/>
    </xf>
    <xf numFmtId="0" fontId="40" fillId="21" borderId="1" xfId="0" applyFont="1" applyFill="1" applyBorder="1" applyAlignment="1">
      <alignment horizontal="center" vertical="center" wrapText="1"/>
    </xf>
    <xf numFmtId="0" fontId="40" fillId="4" borderId="1" xfId="0" applyFont="1" applyFill="1" applyBorder="1" applyAlignment="1" applyProtection="1">
      <alignment horizontal="center" vertical="center" wrapText="1"/>
      <protection locked="0"/>
    </xf>
    <xf numFmtId="0" fontId="40" fillId="5" borderId="1" xfId="0" applyFont="1" applyFill="1" applyBorder="1" applyAlignment="1">
      <alignment horizontal="center" vertical="center" wrapText="1"/>
    </xf>
    <xf numFmtId="0" fontId="40" fillId="7" borderId="1" xfId="0" applyFont="1" applyFill="1" applyBorder="1" applyAlignment="1" applyProtection="1">
      <alignment horizontal="center" vertical="center" wrapText="1"/>
      <protection locked="0"/>
    </xf>
    <xf numFmtId="0" fontId="41" fillId="15" borderId="1" xfId="0" applyFont="1" applyFill="1" applyBorder="1" applyAlignment="1" applyProtection="1">
      <alignment horizontal="center" vertical="center" wrapText="1"/>
      <protection locked="0"/>
    </xf>
    <xf numFmtId="0" fontId="41" fillId="18" borderId="1" xfId="0" applyFont="1" applyFill="1" applyBorder="1" applyAlignment="1" applyProtection="1">
      <alignment horizontal="center" vertical="center" wrapText="1"/>
      <protection locked="0"/>
    </xf>
    <xf numFmtId="0" fontId="40" fillId="7" borderId="1" xfId="0" applyFont="1" applyFill="1" applyBorder="1" applyAlignment="1">
      <alignment horizontal="center" vertical="center" wrapText="1"/>
    </xf>
    <xf numFmtId="0" fontId="40" fillId="19" borderId="1" xfId="0" applyFont="1" applyFill="1" applyBorder="1" applyAlignment="1" applyProtection="1">
      <alignment horizontal="center" vertical="center" wrapText="1"/>
      <protection locked="0"/>
    </xf>
    <xf numFmtId="164" fontId="40" fillId="4" borderId="1" xfId="1" applyNumberFormat="1" applyFont="1" applyFill="1" applyBorder="1" applyAlignment="1" applyProtection="1">
      <alignment horizontal="center" vertical="center" wrapText="1"/>
      <protection locked="0"/>
    </xf>
    <xf numFmtId="165" fontId="40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41" fillId="3" borderId="1" xfId="0" applyFont="1" applyFill="1" applyBorder="1" applyAlignment="1" applyProtection="1">
      <alignment horizontal="center" vertical="center" wrapText="1"/>
      <protection locked="0"/>
    </xf>
    <xf numFmtId="0" fontId="31" fillId="5" borderId="48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36" fillId="23" borderId="45" xfId="0" applyFont="1" applyFill="1" applyBorder="1"/>
    <xf numFmtId="0" fontId="36" fillId="23" borderId="46" xfId="0" applyFont="1" applyFill="1" applyBorder="1"/>
    <xf numFmtId="0" fontId="37" fillId="23" borderId="46" xfId="0" applyFont="1" applyFill="1" applyBorder="1"/>
    <xf numFmtId="0" fontId="37" fillId="23" borderId="47" xfId="0" applyFont="1" applyFill="1" applyBorder="1"/>
    <xf numFmtId="0" fontId="0" fillId="23" borderId="46" xfId="0" applyFill="1" applyBorder="1"/>
    <xf numFmtId="0" fontId="0" fillId="23" borderId="47" xfId="0" applyFill="1" applyBorder="1"/>
    <xf numFmtId="0" fontId="20" fillId="0" borderId="0" xfId="0" applyFont="1" applyAlignment="1">
      <alignment horizontal="center" vertical="center" wrapText="1"/>
    </xf>
    <xf numFmtId="0" fontId="22" fillId="24" borderId="1" xfId="0" applyFont="1" applyFill="1" applyBorder="1" applyAlignment="1" applyProtection="1">
      <alignment horizontal="center" vertical="center" wrapText="1"/>
      <protection locked="0"/>
    </xf>
    <xf numFmtId="0" fontId="0" fillId="0" borderId="49" xfId="0" applyBorder="1"/>
    <xf numFmtId="0" fontId="0" fillId="0" borderId="0" xfId="0" applyBorder="1"/>
    <xf numFmtId="0" fontId="0" fillId="0" borderId="50" xfId="0" applyBorder="1"/>
    <xf numFmtId="0" fontId="18" fillId="0" borderId="0" xfId="0" applyFont="1" applyBorder="1" applyAlignment="1"/>
    <xf numFmtId="0" fontId="6" fillId="0" borderId="0" xfId="0" applyFont="1" applyBorder="1"/>
    <xf numFmtId="0" fontId="5" fillId="0" borderId="0" xfId="0" applyFont="1" applyBorder="1" applyAlignment="1">
      <alignment vertical="top"/>
    </xf>
    <xf numFmtId="0" fontId="20" fillId="0" borderId="0" xfId="0" applyFont="1" applyBorder="1" applyAlignment="1">
      <alignment vertical="top"/>
    </xf>
    <xf numFmtId="0" fontId="2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0" xfId="0" applyBorder="1" applyAlignment="1">
      <alignment wrapText="1"/>
    </xf>
    <xf numFmtId="0" fontId="7" fillId="8" borderId="5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0" fontId="7" fillId="8" borderId="11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horizontal="center" vertical="center" wrapText="1"/>
    </xf>
    <xf numFmtId="0" fontId="7" fillId="8" borderId="13" xfId="0" applyFont="1" applyFill="1" applyBorder="1" applyAlignment="1">
      <alignment horizontal="center" vertical="center" wrapText="1"/>
    </xf>
    <xf numFmtId="0" fontId="7" fillId="22" borderId="5" xfId="0" applyFont="1" applyFill="1" applyBorder="1" applyAlignment="1">
      <alignment horizontal="center" vertical="center" wrapText="1"/>
    </xf>
    <xf numFmtId="0" fontId="7" fillId="17" borderId="6" xfId="0" applyFont="1" applyFill="1" applyBorder="1" applyAlignment="1">
      <alignment horizontal="center" vertical="center" wrapText="1"/>
    </xf>
    <xf numFmtId="0" fontId="7" fillId="17" borderId="11" xfId="0" applyFont="1" applyFill="1" applyBorder="1" applyAlignment="1">
      <alignment horizontal="center" vertical="center" wrapText="1"/>
    </xf>
    <xf numFmtId="0" fontId="7" fillId="17" borderId="13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2" fillId="0" borderId="37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13" borderId="37" xfId="0" applyFont="1" applyFill="1" applyBorder="1" applyAlignment="1">
      <alignment horizontal="center" vertical="center" wrapText="1"/>
    </xf>
    <xf numFmtId="0" fontId="12" fillId="13" borderId="29" xfId="0" applyFont="1" applyFill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 wrapText="1"/>
    </xf>
    <xf numFmtId="0" fontId="3" fillId="14" borderId="27" xfId="0" applyFont="1" applyFill="1" applyBorder="1" applyAlignment="1">
      <alignment vertical="center" wrapText="1"/>
    </xf>
    <xf numFmtId="0" fontId="3" fillId="14" borderId="26" xfId="0" applyFont="1" applyFill="1" applyBorder="1" applyAlignment="1">
      <alignment vertical="center" wrapText="1"/>
    </xf>
    <xf numFmtId="0" fontId="3" fillId="14" borderId="19" xfId="0" applyFont="1" applyFill="1" applyBorder="1" applyAlignment="1">
      <alignment vertical="center" wrapText="1"/>
    </xf>
    <xf numFmtId="0" fontId="3" fillId="13" borderId="27" xfId="0" applyFont="1" applyFill="1" applyBorder="1" applyAlignment="1">
      <alignment vertical="center" wrapText="1"/>
    </xf>
    <xf numFmtId="0" fontId="3" fillId="13" borderId="26" xfId="0" applyFont="1" applyFill="1" applyBorder="1" applyAlignment="1">
      <alignment vertical="center" wrapText="1"/>
    </xf>
    <xf numFmtId="0" fontId="3" fillId="13" borderId="19" xfId="0" applyFont="1" applyFill="1" applyBorder="1" applyAlignment="1">
      <alignment vertical="center" wrapText="1"/>
    </xf>
    <xf numFmtId="0" fontId="11" fillId="0" borderId="22" xfId="0" applyFont="1" applyBorder="1" applyAlignment="1">
      <alignment horizontal="center" vertical="center" wrapText="1"/>
    </xf>
    <xf numFmtId="0" fontId="13" fillId="13" borderId="37" xfId="0" applyFont="1" applyFill="1" applyBorder="1" applyAlignment="1">
      <alignment horizontal="center" vertical="center" wrapText="1"/>
    </xf>
    <xf numFmtId="0" fontId="13" fillId="13" borderId="30" xfId="0" applyFont="1" applyFill="1" applyBorder="1" applyAlignment="1">
      <alignment horizontal="center" vertical="center" wrapText="1"/>
    </xf>
    <xf numFmtId="0" fontId="12" fillId="13" borderId="36" xfId="0" applyFont="1" applyFill="1" applyBorder="1" applyAlignment="1">
      <alignment horizontal="center" vertical="center" wrapText="1"/>
    </xf>
    <xf numFmtId="0" fontId="12" fillId="13" borderId="32" xfId="0" applyFont="1" applyFill="1" applyBorder="1" applyAlignment="1">
      <alignment horizontal="center" vertical="center" wrapText="1"/>
    </xf>
    <xf numFmtId="0" fontId="12" fillId="13" borderId="30" xfId="0" applyFont="1" applyFill="1" applyBorder="1" applyAlignment="1">
      <alignment horizontal="center" vertical="center" wrapText="1"/>
    </xf>
    <xf numFmtId="0" fontId="4" fillId="13" borderId="27" xfId="0" applyFont="1" applyFill="1" applyBorder="1" applyAlignment="1">
      <alignment horizontal="left" vertical="center" wrapText="1"/>
    </xf>
    <xf numFmtId="0" fontId="4" fillId="13" borderId="19" xfId="0" applyFont="1" applyFill="1" applyBorder="1" applyAlignment="1">
      <alignment horizontal="left" vertical="center" wrapText="1"/>
    </xf>
    <xf numFmtId="0" fontId="4" fillId="13" borderId="24" xfId="0" applyFont="1" applyFill="1" applyBorder="1" applyAlignment="1">
      <alignment horizontal="left" vertical="center" wrapText="1"/>
    </xf>
    <xf numFmtId="0" fontId="4" fillId="13" borderId="33" xfId="0" applyFont="1" applyFill="1" applyBorder="1" applyAlignment="1">
      <alignment horizontal="left" vertical="center" wrapText="1"/>
    </xf>
    <xf numFmtId="0" fontId="4" fillId="14" borderId="34" xfId="0" applyFont="1" applyFill="1" applyBorder="1" applyAlignment="1">
      <alignment horizontal="left" vertical="center" wrapText="1"/>
    </xf>
    <xf numFmtId="0" fontId="4" fillId="14" borderId="25" xfId="0" applyFont="1" applyFill="1" applyBorder="1" applyAlignment="1">
      <alignment horizontal="left" vertical="center" wrapText="1"/>
    </xf>
    <xf numFmtId="0" fontId="4" fillId="14" borderId="17" xfId="0" applyFont="1" applyFill="1" applyBorder="1" applyAlignment="1">
      <alignment horizontal="left" vertical="center" wrapText="1"/>
    </xf>
    <xf numFmtId="0" fontId="4" fillId="13" borderId="15" xfId="0" applyFont="1" applyFill="1" applyBorder="1" applyAlignment="1">
      <alignment horizontal="left" vertical="center" wrapText="1"/>
    </xf>
    <xf numFmtId="0" fontId="12" fillId="0" borderId="37" xfId="0" applyFont="1" applyBorder="1" applyAlignment="1">
      <alignment horizontal="left" vertical="center" wrapText="1"/>
    </xf>
    <xf numFmtId="0" fontId="12" fillId="0" borderId="29" xfId="0" applyFont="1" applyBorder="1" applyAlignment="1">
      <alignment horizontal="left" vertical="center" wrapText="1"/>
    </xf>
    <xf numFmtId="0" fontId="13" fillId="13" borderId="29" xfId="0" applyFont="1" applyFill="1" applyBorder="1" applyAlignment="1">
      <alignment horizontal="center" vertical="center" wrapText="1"/>
    </xf>
    <xf numFmtId="0" fontId="12" fillId="13" borderId="36" xfId="0" applyFont="1" applyFill="1" applyBorder="1" applyAlignment="1">
      <alignment horizontal="left" vertical="top" wrapText="1"/>
    </xf>
    <xf numFmtId="0" fontId="12" fillId="13" borderId="31" xfId="0" applyFont="1" applyFill="1" applyBorder="1" applyAlignment="1">
      <alignment horizontal="left" vertical="top" wrapText="1"/>
    </xf>
    <xf numFmtId="0" fontId="12" fillId="13" borderId="37" xfId="0" applyFont="1" applyFill="1" applyBorder="1" applyAlignment="1">
      <alignment horizontal="left" vertical="top" wrapText="1"/>
    </xf>
    <xf numFmtId="0" fontId="12" fillId="13" borderId="29" xfId="0" applyFont="1" applyFill="1" applyBorder="1" applyAlignment="1">
      <alignment horizontal="left" vertical="top" wrapText="1"/>
    </xf>
    <xf numFmtId="0" fontId="12" fillId="0" borderId="37" xfId="0" applyFont="1" applyBorder="1" applyAlignment="1">
      <alignment horizontal="left" vertical="top" wrapText="1"/>
    </xf>
    <xf numFmtId="0" fontId="12" fillId="0" borderId="29" xfId="0" applyFont="1" applyBorder="1" applyAlignment="1">
      <alignment horizontal="left" vertical="top" wrapText="1"/>
    </xf>
    <xf numFmtId="0" fontId="0" fillId="0" borderId="61" xfId="0" applyBorder="true"/>
    <xf numFmtId="0" fontId="0" fillId="0" borderId="0" xfId="0"/>
    <xf numFmtId="0" fontId="0" fillId="0" borderId="0" xfId="0"/>
    <xf numFmtId="0" fontId="0" fillId="0" borderId="61" xfId="0" applyBorder="true"/>
    <xf numFmtId="0" fontId="0" fillId="0" borderId="0" xfId="0"/>
    <xf numFmtId="0" fontId="0" fillId="0" borderId="0" xfId="0"/>
    <xf numFmtId="0" fontId="0" fillId="0" borderId="61" xfId="0" applyBorder="true"/>
    <xf numFmtId="0" fontId="0" fillId="0" borderId="0" xfId="0"/>
    <xf numFmtId="0" fontId="0" fillId="0" borderId="0" xfId="0"/>
    <xf numFmtId="0" fontId="0" fillId="0" borderId="61" xfId="0" applyBorder="true"/>
    <xf numFmtId="0" fontId="0" fillId="0" borderId="0" xfId="0"/>
    <xf numFmtId="0" fontId="0" fillId="0" borderId="0" xfId="0"/>
    <xf numFmtId="0" fontId="0" fillId="0" borderId="61" xfId="0" applyBorder="true"/>
    <xf numFmtId="0" fontId="0" fillId="0" borderId="0" xfId="0"/>
    <xf numFmtId="0" fontId="0" fillId="0" borderId="0" xfId="0"/>
    <xf numFmtId="0" fontId="0" fillId="0" borderId="61" xfId="0" applyBorder="true"/>
    <xf numFmtId="0" fontId="0" fillId="0" borderId="0" xfId="0"/>
    <xf numFmtId="0" fontId="0" fillId="0" borderId="0" xfId="0"/>
    <xf numFmtId="0" fontId="0" fillId="0" borderId="61" xfId="0" applyBorder="true"/>
    <xf numFmtId="0" fontId="0" fillId="0" borderId="0" xfId="0"/>
    <xf numFmtId="0" fontId="0" fillId="0" borderId="0" xfId="0"/>
    <xf numFmtId="0" fontId="0" fillId="0" borderId="61" xfId="0" applyBorder="true"/>
    <xf numFmtId="0" fontId="0" fillId="0" borderId="61" xfId="0" applyBorder="true"/>
    <xf numFmtId="0" fontId="0" fillId="0" borderId="0" xfId="0"/>
    <xf numFmtId="0" fontId="0" fillId="0" borderId="61" xfId="0" applyBorder="true"/>
    <xf numFmtId="0" fontId="0" fillId="0" borderId="61" xfId="0" applyBorder="true"/>
    <xf numFmtId="0" fontId="0" fillId="0" borderId="0" xfId="0"/>
    <xf numFmtId="0" fontId="0" fillId="0" borderId="61" xfId="0" applyBorder="true"/>
    <xf numFmtId="0" fontId="0" fillId="0" borderId="61" xfId="0" applyBorder="true"/>
    <xf numFmtId="0" fontId="0" fillId="0" borderId="0" xfId="0"/>
    <xf numFmtId="0" fontId="0" fillId="0" borderId="61" xfId="0" applyBorder="true"/>
    <xf numFmtId="0" fontId="0" fillId="0" borderId="61" xfId="0" applyBorder="true"/>
    <xf numFmtId="0" fontId="0" fillId="0" borderId="0" xfId="0"/>
    <xf numFmtId="0" fontId="0" fillId="0" borderId="61" xfId="0" applyBorder="true"/>
    <xf numFmtId="0" fontId="0" fillId="0" borderId="61" xfId="0" applyBorder="true"/>
    <xf numFmtId="0" fontId="0" fillId="0" borderId="0" xfId="0"/>
    <xf numFmtId="0" fontId="0" fillId="0" borderId="61" xfId="0" applyBorder="true"/>
    <xf numFmtId="0" fontId="0" fillId="0" borderId="61" xfId="0" applyBorder="true"/>
    <xf numFmtId="0" fontId="0" fillId="0" borderId="0" xfId="0"/>
    <xf numFmtId="0" fontId="0" fillId="0" borderId="61" xfId="0" applyBorder="true"/>
    <xf numFmtId="0" fontId="0" fillId="0" borderId="61" xfId="0" applyBorder="true"/>
    <xf numFmtId="0" fontId="0" fillId="0" borderId="0" xfId="0"/>
    <xf numFmtId="0" fontId="0" fillId="0" borderId="61" xfId="0" applyBorder="true"/>
    <xf numFmtId="0" fontId="0" fillId="0" borderId="61" xfId="0" applyBorder="true"/>
    <xf numFmtId="0" fontId="0" fillId="0" borderId="0" xfId="0"/>
    <xf numFmtId="0" fontId="0" fillId="0" borderId="61" xfId="0" applyBorder="true"/>
    <xf numFmtId="0" fontId="0" fillId="0" borderId="61" xfId="0" applyBorder="true"/>
    <xf numFmtId="0" fontId="0" fillId="0" borderId="0" xfId="0"/>
    <xf numFmtId="0" fontId="0" fillId="0" borderId="61" xfId="0" applyBorder="true"/>
    <xf numFmtId="0" fontId="0" fillId="0" borderId="61" xfId="0" applyBorder="true"/>
    <xf numFmtId="0" fontId="0" fillId="0" borderId="0" xfId="0"/>
    <xf numFmtId="0" fontId="0" fillId="0" borderId="61" xfId="0" applyBorder="true"/>
    <xf numFmtId="0" fontId="0" fillId="0" borderId="61" xfId="0" applyBorder="true"/>
    <xf numFmtId="0" fontId="0" fillId="0" borderId="0" xfId="0"/>
    <xf numFmtId="0" fontId="0" fillId="0" borderId="61" xfId="0" applyBorder="true"/>
    <xf numFmtId="0" fontId="0" fillId="0" borderId="61" xfId="0" applyBorder="true"/>
    <xf numFmtId="0" fontId="0" fillId="0" borderId="0" xfId="0"/>
    <xf numFmtId="0" fontId="0" fillId="0" borderId="61" xfId="0" applyBorder="true"/>
    <xf numFmtId="0" fontId="0" fillId="0" borderId="61" xfId="0" applyBorder="true"/>
    <xf numFmtId="0" fontId="0" fillId="0" borderId="0" xfId="0"/>
  </cellXfs>
  <cellStyles count="8">
    <cellStyle name="Comma 2" xfId="5"/>
    <cellStyle name="Currency" xfId="4" builtinId="4"/>
    <cellStyle name="Currency 2" xfId="6"/>
    <cellStyle name="Hyperlink" xfId="2" builtinId="8"/>
    <cellStyle name="Normal" xfId="0" builtinId="0"/>
    <cellStyle name="Normal 2" xfId="7"/>
    <cellStyle name="Normal 4" xfId="3"/>
    <cellStyle name="Percent" xfId="1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40FF"/>
      <color rgb="FF66FF33"/>
      <color rgb="FFFCE0FA"/>
      <color rgb="FFFBD5F8"/>
      <color rgb="FFFFDDEE"/>
      <color rgb="FFFFC9E4"/>
      <color rgb="FFEED7F7"/>
      <color rgb="FFF3E2FE"/>
      <color rgb="FFFFE1FF"/>
      <color rgb="FFFFD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externalLinks/externalLink1.xml" Type="http://schemas.openxmlformats.org/officeDocument/2006/relationships/externalLink"/><Relationship Id="rId11" Target="externalLinks/externalLink2.xml" Type="http://schemas.openxmlformats.org/officeDocument/2006/relationships/externalLink"/><Relationship Id="rId12" Target="theme/theme1.xml" Type="http://schemas.openxmlformats.org/officeDocument/2006/relationships/theme"/><Relationship Id="rId13" Target="styles.xml" Type="http://schemas.openxmlformats.org/officeDocument/2006/relationships/styles"/><Relationship Id="rId14" Target="sharedStrings.xml" Type="http://schemas.openxmlformats.org/officeDocument/2006/relationships/sharedStrings"/><Relationship Id="rId15" Target="calcChain.xml" Type="http://schemas.openxmlformats.org/officeDocument/2006/relationships/calcChain"/><Relationship Id="rId16" Target="../customXml/item1.xml" Type="http://schemas.openxmlformats.org/officeDocument/2006/relationships/customXml"/><Relationship Id="rId17" Target="../customXml/item2.xml" Type="http://schemas.openxmlformats.org/officeDocument/2006/relationships/customXml"/><Relationship Id="rId18" Target="../customXml/item3.xml" Type="http://schemas.openxmlformats.org/officeDocument/2006/relationships/customXml"/><Relationship Id="rId19" Target="vbaProject.bin" Type="http://schemas.microsoft.com/office/2006/relationships/vbaProject"/><Relationship Id="rId2" Target="worksheets/sheet2.xml" Type="http://schemas.openxmlformats.org/officeDocument/2006/relationships/worksheet"/><Relationship Id="rId25" Target="persons/person.xml" Type="http://schemas.microsoft.com/office/2017/10/relationships/person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trlProps/ctrlProp1.xml><?xml version="1.0" encoding="utf-8"?>
<formControlPr xmlns="http://schemas.microsoft.com/office/spreadsheetml/2009/9/main" objectType="CheckBox" fmlaLink="#REF!" lockText="1" noThreeD="1"/>
</file>

<file path=xl/ctrlProps/ctrlProp2.xml><?xml version="1.0" encoding="utf-8"?>
<formControlPr xmlns="http://schemas.microsoft.com/office/spreadsheetml/2009/9/main" objectType="CheckBox" fmlaLink="#REF!" lockText="1" noThreeD="1"/>
</file>

<file path=xl/ctrlProps/ctrlProp3.xml><?xml version="1.0" encoding="utf-8"?>
<formControlPr xmlns="http://schemas.microsoft.com/office/spreadsheetml/2009/9/main" objectType="CheckBox" fmlaLink="#REF!" lockText="1" noThreeD="1"/>
</file>

<file path=xl/ctrlProps/ctrlProp4.xml><?xml version="1.0" encoding="utf-8"?>
<formControlPr xmlns="http://schemas.microsoft.com/office/spreadsheetml/2009/9/main" objectType="CheckBox" fmlaLink="#REF!" lockText="1" noThreeD="1"/>
</file>

<file path=xl/ctrlProps/ctrlProp5.xml><?xml version="1.0" encoding="utf-8"?>
<formControlPr xmlns="http://schemas.microsoft.com/office/spreadsheetml/2009/9/main" objectType="CheckBox" fmlaLink="#REF!" lockText="1" noThreeD="1"/>
</file>

<file path=xl/ctrlProps/ctrlProp6.xml><?xml version="1.0" encoding="utf-8"?>
<formControlPr xmlns="http://schemas.microsoft.com/office/spreadsheetml/2009/9/main" objectType="CheckBox" fmlaLink="#REF!" lockText="1" noThreeD="1"/>
</file>

<file path=xl/drawings/_rels/drawing3.xml.rels><?xml version="1.0" encoding="UTF-8" standalone="no"?><Relationships xmlns="http://schemas.openxmlformats.org/package/2006/relationships"><Relationship Id="rId1" Target="#'Home%20Page'!A1" Type="http://schemas.openxmlformats.org/officeDocument/2006/relationships/hyperlink"/></Relationships>
</file>

<file path=xl/drawings/_rels/drawing4.xml.rels><?xml version="1.0" encoding="UTF-8" standalone="no"?><Relationships xmlns="http://schemas.openxmlformats.org/package/2006/relationships"><Relationship Id="rId1" Target="#'Home%20Page'!A1" Type="http://schemas.openxmlformats.org/officeDocument/2006/relationships/hyperlink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593939</xdr:colOff>
      <xdr:row>16</xdr:row>
      <xdr:rowOff>152400</xdr:rowOff>
    </xdr:from>
    <xdr:to>
      <xdr:col>10</xdr:col>
      <xdr:colOff>227999</xdr:colOff>
      <xdr:row>18</xdr:row>
      <xdr:rowOff>100920</xdr:rowOff>
    </xdr:to>
    <xdr:sp macro="[0]!ViewAllPALColumns" textlink="">
      <xdr:nvSpPr>
        <xdr:cNvPr id="5" name="Rounded Rectangle PAL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971879" y="2827020"/>
          <a:ext cx="1462860" cy="3600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200" b="1">
              <a:solidFill>
                <a:schemeClr val="tx1"/>
              </a:solidFill>
            </a:rPr>
            <a:t>All PAL Columns</a:t>
          </a:r>
        </a:p>
      </xdr:txBody>
    </xdr:sp>
    <xdr:clientData/>
  </xdr:twoCellAnchor>
  <xdr:twoCellAnchor editAs="oneCell">
    <xdr:from>
      <xdr:col>7</xdr:col>
      <xdr:colOff>593939</xdr:colOff>
      <xdr:row>15</xdr:row>
      <xdr:rowOff>0</xdr:rowOff>
    </xdr:from>
    <xdr:to>
      <xdr:col>10</xdr:col>
      <xdr:colOff>201964</xdr:colOff>
      <xdr:row>15</xdr:row>
      <xdr:rowOff>360000</xdr:rowOff>
    </xdr:to>
    <xdr:sp macro="[0]!ViewRole" textlink="">
      <xdr:nvSpPr>
        <xdr:cNvPr id="69" name="Rounded Rectangle Buyer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7573859" y="1988820"/>
          <a:ext cx="1440000" cy="360000"/>
        </a:xfrm>
        <a:prstGeom prst="roundRect">
          <a:avLst/>
        </a:prstGeom>
        <a:solidFill>
          <a:srgbClr val="F0DCDC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GB" sz="1000" b="1"/>
            <a:t>View PAL for Role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</xdr:row>
      <xdr:rowOff>69845</xdr:rowOff>
    </xdr:from>
    <xdr:to>
      <xdr:col>0</xdr:col>
      <xdr:colOff>0</xdr:colOff>
      <xdr:row>4</xdr:row>
      <xdr:rowOff>269483</xdr:rowOff>
    </xdr:to>
    <xdr:sp macro="[0]!PasteRows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993941"/>
          <a:ext cx="0" cy="208236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GB" sz="1000" b="1"/>
            <a:t>Paste Row(s)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104775</xdr:colOff>
          <xdr:row>2</xdr:row>
          <xdr:rowOff>228600</xdr:rowOff>
        </xdr:to>
        <xdr:sp macro="" textlink="">
          <xdr:nvSpPr>
            <xdr:cNvPr id="3380" name="chkPrintAllRows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4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 All Rows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114300</xdr:rowOff>
        </xdr:from>
        <xdr:to>
          <xdr:col>9</xdr:col>
          <xdr:colOff>104775</xdr:colOff>
          <xdr:row>3</xdr:row>
          <xdr:rowOff>104775</xdr:rowOff>
        </xdr:to>
        <xdr:sp macro="" textlink="">
          <xdr:nvSpPr>
            <xdr:cNvPr id="35032" name="chkPrintAllRows" hidden="1">
              <a:extLst>
                <a:ext uri="{63B3BB69-23CF-44E3-9099-C40C66FF867C}">
                  <a14:compatExt spid="_x0000_s35032"/>
                </a:ext>
                <a:ext uri="{FF2B5EF4-FFF2-40B4-BE49-F238E27FC236}">
                  <a16:creationId xmlns:a16="http://schemas.microsoft.com/office/drawing/2014/main" id="{00000000-0008-0000-0400-0000D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 All Rows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114300</xdr:rowOff>
        </xdr:from>
        <xdr:to>
          <xdr:col>9</xdr:col>
          <xdr:colOff>104775</xdr:colOff>
          <xdr:row>3</xdr:row>
          <xdr:rowOff>104775</xdr:rowOff>
        </xdr:to>
        <xdr:sp macro="" textlink="">
          <xdr:nvSpPr>
            <xdr:cNvPr id="62786" name="chkPrintAllRows" hidden="1">
              <a:extLst>
                <a:ext uri="{63B3BB69-23CF-44E3-9099-C40C66FF867C}">
                  <a14:compatExt spid="_x0000_s62786"/>
                </a:ext>
                <a:ext uri="{FF2B5EF4-FFF2-40B4-BE49-F238E27FC236}">
                  <a16:creationId xmlns:a16="http://schemas.microsoft.com/office/drawing/2014/main" id="{00000000-0008-0000-0400-000042F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 All Rows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104775</xdr:colOff>
          <xdr:row>2</xdr:row>
          <xdr:rowOff>228600</xdr:rowOff>
        </xdr:to>
        <xdr:sp macro="" textlink="">
          <xdr:nvSpPr>
            <xdr:cNvPr id="105474" name="chkPrintAllRows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4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 All Rows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114300</xdr:rowOff>
        </xdr:from>
        <xdr:to>
          <xdr:col>7</xdr:col>
          <xdr:colOff>104775</xdr:colOff>
          <xdr:row>3</xdr:row>
          <xdr:rowOff>95250</xdr:rowOff>
        </xdr:to>
        <xdr:sp macro="" textlink="">
          <xdr:nvSpPr>
            <xdr:cNvPr id="105475" name="Check Box 6147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400-0000D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 All Rows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114300</xdr:rowOff>
        </xdr:from>
        <xdr:to>
          <xdr:col>7</xdr:col>
          <xdr:colOff>104775</xdr:colOff>
          <xdr:row>3</xdr:row>
          <xdr:rowOff>95250</xdr:rowOff>
        </xdr:to>
        <xdr:sp macro="" textlink="">
          <xdr:nvSpPr>
            <xdr:cNvPr id="105476" name="Check Box 6148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400-000042F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 All Rows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1</xdr:row>
      <xdr:rowOff>85725</xdr:rowOff>
    </xdr:from>
    <xdr:to>
      <xdr:col>1</xdr:col>
      <xdr:colOff>1024438</xdr:colOff>
      <xdr:row>2</xdr:row>
      <xdr:rowOff>65440</xdr:rowOff>
    </xdr:to>
    <xdr:sp macro="" textlink="">
      <xdr:nvSpPr>
        <xdr:cNvPr id="4" name="cmdBack">
          <a:hlinkClick xmlns:r="http://schemas.openxmlformats.org/officeDocument/2006/relationships" r:id="rId1" tooltip="Home Sheet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161925" y="285750"/>
          <a:ext cx="967288" cy="21022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GB" sz="1000" b="1"/>
            <a:t>Home Page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57150</xdr:rowOff>
    </xdr:from>
    <xdr:to>
      <xdr:col>1</xdr:col>
      <xdr:colOff>373563</xdr:colOff>
      <xdr:row>3</xdr:row>
      <xdr:rowOff>76870</xdr:rowOff>
    </xdr:to>
    <xdr:sp macro="" textlink="">
      <xdr:nvSpPr>
        <xdr:cNvPr id="2" name="cmdBack">
          <a:hlinkClick xmlns:r="http://schemas.openxmlformats.org/officeDocument/2006/relationships" r:id="rId1" tooltip="Home Sheet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7150" y="704850"/>
          <a:ext cx="967288" cy="21022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GB" sz="1000" b="1"/>
            <a:t>Home Page</a:t>
          </a:r>
        </a:p>
      </xdr:txBody>
    </xdr:sp>
    <xdr:clientData fPrintsWithSheet="0"/>
  </xdr:twoCellAnchor>
</xdr:wsDr>
</file>

<file path=xl/externalLinks/_rels/externalLink1.xml.rels><?xml version="1.0" encoding="UTF-8" standalone="no"?><Relationships xmlns="http://schemas.openxmlformats.org/package/2006/relationships"><Relationship Id="rId1" Target="file:///C:/Fiona/PM%20Document%20review/PAL%20folder/PAL%20V1.9%20-%20Standard%20for%20Ashbury%20Click%20update.xlsm" TargetMode="External" Type="http://schemas.openxmlformats.org/officeDocument/2006/relationships/externalLinkPath"/></Relationships>
</file>

<file path=xl/externalLinks/_rels/externalLink2.xml.rels><?xml version="1.0" encoding="UTF-8" standalone="no"?><Relationships xmlns="http://schemas.openxmlformats.org/package/2006/relationships"><Relationship Id="rId1" Target="file:///C:/Users/username/Documents/Ashbury%20Click/MandS/Gate%203%20-%20PAL/Revised%20PAL%20-%20Product%20Attribute%20List%20V1.2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Qs"/>
      <sheetName val="Settings"/>
      <sheetName val="Settings - UPDATED"/>
      <sheetName val="Lists"/>
      <sheetName val="Lists - UPDATED"/>
      <sheetName val="Distribution List"/>
      <sheetName val="Home Page"/>
      <sheetName val="PAL"/>
      <sheetName val="Multipack Children"/>
      <sheetName val="Multiple Artwork for Product "/>
      <sheetName val="PAL Meeting Minutes"/>
      <sheetName val="Changes Log"/>
      <sheetName val="Batch Dates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 Page"/>
      <sheetName val="FAQ's"/>
      <sheetName val="Column Key"/>
      <sheetName val="Lists"/>
      <sheetName val="PAL"/>
      <sheetName val="Multipack Children"/>
      <sheetName val="PAL Meeting Minutes"/>
      <sheetName val="Batch Dates"/>
      <sheetName val="Home_Page"/>
      <sheetName val="Column_Key"/>
      <sheetName val="Multipack_Children"/>
      <sheetName val="PAL_Meeting_Minutes"/>
      <sheetName val="Batch_Dates"/>
      <sheetName val="Home_Page1"/>
      <sheetName val="Column_Key1"/>
      <sheetName val="Multipack_Children1"/>
      <sheetName val="PAL_Meeting_Minutes1"/>
      <sheetName val="Batch_Dates1"/>
      <sheetName val="Home_Page2"/>
      <sheetName val="Column_Key2"/>
      <sheetName val="Multipack_Children2"/>
      <sheetName val="PAL_Meeting_Minutes2"/>
      <sheetName val="Batch_Dates2"/>
      <sheetName val="Home_Page3"/>
      <sheetName val="Column_Key3"/>
      <sheetName val="Multipack_Children3"/>
      <sheetName val="PAL_Meeting_Minutes3"/>
      <sheetName val="Batch_Dates3"/>
      <sheetName val="Home_Page4"/>
      <sheetName val="Column_Key4"/>
      <sheetName val="Multipack_Children4"/>
      <sheetName val="PAL_Meeting_Minutes4"/>
      <sheetName val="Batch_Dates4"/>
      <sheetName val="Home_Page5"/>
      <sheetName val="Column_Key5"/>
      <sheetName val="Multipack_Children5"/>
      <sheetName val="PAL_Meeting_Minutes5"/>
      <sheetName val="Batch_Dates5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Houston, Fiona" id="{EAA1994E-C469-419C-BDC1-856000BF1E82}" userId="S::Fiona.Houston@mnscorp.net::3c41204b-a18d-4ec8-b5cd-f7b4d82f6273" providerId="AD"/>
  <person displayName="Manning, Colin" id="{5A02C935-72B7-454D-B62A-43F793D644B9}" userId="S::Colin.D.Manning@mnscorp.net::def18459-d4da-48ae-8773-3e2e0206ff6e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53" dT="2021-06-29T11:15:24.57" personId="{5A02C935-72B7-454D-B62A-43F793D644B9}" id="{60494BDF-2F8D-42CD-9A08-4F27E8713672}">
    <text>moved to no go</text>
  </threadedComment>
  <threadedComment ref="G67" dT="2021-06-29T11:17:19.31" personId="{5A02C935-72B7-454D-B62A-43F793D644B9}" id="{18052010-DBF0-4250-80A6-0E7DD4BEB900}">
    <text>is this sealed???</text>
  </threadedComment>
  <threadedComment ref="G80" dT="2021-06-29T11:19:27.65" personId="{5A02C935-72B7-454D-B62A-43F793D644B9}" id="{CA27C1C6-B5B5-4F72-AB66-61DF0ADE79E1}">
    <text>check with riz - is this sealed</text>
  </threadedComment>
  <threadedComment ref="G85" dT="2021-06-29T11:26:18.30" personId="{5A02C935-72B7-454D-B62A-43F793D644B9}" id="{2A1A0BCF-AE88-440F-A2B3-E1567D47CF71}">
    <text>confirm if sealed</text>
  </threadedComment>
  <threadedComment ref="G86" dT="2021-06-29T11:26:30.06" personId="{5A02C935-72B7-454D-B62A-43F793D644B9}" id="{D3D342E4-5BF6-4B22-895B-757716637558}">
    <text>confirm if sealed</text>
  </threadedComment>
  <threadedComment ref="L86" dT="2021-07-19T10:34:54.92" personId="{5A02C935-72B7-454D-B62A-43F793D644B9}" id="{57E8F534-24E4-40C9-AE62-F6E6A9BDC53B}">
    <text>make sure name is updated</text>
  </threadedComment>
  <threadedComment ref="G87" dT="2021-06-29T11:26:43.69" personId="{5A02C935-72B7-454D-B62A-43F793D644B9}" id="{CB977507-F05D-4054-9C00-D78436A8F566}">
    <text>confirm if sealed</text>
  </threadedComment>
</ThreadedComments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printerSettings/printerSettings5.bin" Type="http://schemas.openxmlformats.org/officeDocument/2006/relationships/printerSettings"/><Relationship Id="rId3" Target="../printerSettings/printerSettings6.bin" Type="http://schemas.openxmlformats.org/officeDocument/2006/relationships/printerSettings"/><Relationship Id="rId4" Target="../drawings/drawing1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10" Target="../ctrlProps/ctrlProp5.xml" Type="http://schemas.openxmlformats.org/officeDocument/2006/relationships/ctrlProp"/><Relationship Id="rId11" Target="../ctrlProps/ctrlProp6.xml" Type="http://schemas.openxmlformats.org/officeDocument/2006/relationships/ctrlProp"/><Relationship Id="rId12" Target="../threadedComments/threadedComment1.xml" Type="http://schemas.microsoft.com/office/2017/10/relationships/threadedComment"/><Relationship Id="rId2" Target="../printerSettings/printerSettings8.bin" Type="http://schemas.openxmlformats.org/officeDocument/2006/relationships/printerSettings"/><Relationship Id="rId3" Target="../printerSettings/printerSettings9.bin" Type="http://schemas.openxmlformats.org/officeDocument/2006/relationships/printerSettings"/><Relationship Id="rId4" Target="../drawings/drawing2.xml" Type="http://schemas.openxmlformats.org/officeDocument/2006/relationships/drawing"/><Relationship Id="rId5" Target="../drawings/vmlDrawing1.vml" Type="http://schemas.openxmlformats.org/officeDocument/2006/relationships/vmlDrawing"/><Relationship Id="rId6" Target="../ctrlProps/ctrlProp1.xml" Type="http://schemas.openxmlformats.org/officeDocument/2006/relationships/ctrlProp"/><Relationship Id="rId7" Target="../ctrlProps/ctrlProp2.xml" Type="http://schemas.openxmlformats.org/officeDocument/2006/relationships/ctrlProp"/><Relationship Id="rId8" Target="../ctrlProps/ctrlProp3.xml" Type="http://schemas.openxmlformats.org/officeDocument/2006/relationships/ctrlProp"/><Relationship Id="rId9" Target="../ctrlProps/ctrlProp4.xml" Type="http://schemas.openxmlformats.org/officeDocument/2006/relationships/ctrlProp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12.bin" Type="http://schemas.openxmlformats.org/officeDocument/2006/relationships/printerSettings"/><Relationship Id="rId2" Target="../printerSettings/printerSettings13.bin" Type="http://schemas.openxmlformats.org/officeDocument/2006/relationships/printerSettings"/><Relationship Id="rId3" Target="../drawings/drawing3.xml" Type="http://schemas.openxmlformats.org/officeDocument/2006/relationships/drawing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14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FAQs">
    <tabColor theme="3" tint="0.59999389629810485"/>
  </sheetPr>
  <dimension ref="A1:A18"/>
  <sheetViews>
    <sheetView workbookViewId="0"/>
  </sheetViews>
  <sheetFormatPr defaultColWidth="8.7109375" defaultRowHeight="15" x14ac:dyDescent="0.25"/>
  <sheetData>
    <row r="1" spans="1:1" x14ac:dyDescent="0.25">
      <c r="A1" t="s">
        <v>0</v>
      </c>
    </row>
    <row r="2" spans="1:1" x14ac:dyDescent="0.25">
      <c r="A2" s="25" t="s">
        <v>1</v>
      </c>
    </row>
    <row r="3" spans="1:1" x14ac:dyDescent="0.25">
      <c r="A3" s="25" t="s">
        <v>2</v>
      </c>
    </row>
    <row r="4" spans="1:1" x14ac:dyDescent="0.25">
      <c r="A4" t="s">
        <v>3</v>
      </c>
    </row>
    <row r="17" spans="1:1" x14ac:dyDescent="0.25">
      <c r="A17" s="25" t="s">
        <v>4</v>
      </c>
    </row>
    <row r="18" spans="1:1" x14ac:dyDescent="0.25">
      <c r="A18" t="s">
        <v>5</v>
      </c>
    </row>
  </sheetData>
  <customSheetViews>
    <customSheetView guid="{33876330-D4CE-4DD3-A5B9-91A882722FCE}">
      <selection activeCell="B36" sqref="B36"/>
      <pageMargins left="0" right="0" top="0" bottom="0" header="0" footer="0"/>
    </customSheetView>
  </customSheetViews>
  <hyperlinks>
    <hyperlink ref="A2" location="AnswerRowInsert" display="Can I insert a row?"/>
    <hyperlink ref="A17" location="TopFAQs" display="Back to Top"/>
    <hyperlink ref="A3" location="AnswerRowInsert" display="Can I insert a row?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olumnKey"/>
  <dimension ref="A1:CX35"/>
  <sheetViews>
    <sheetView tabSelected="1" workbookViewId="0">
      <pane xSplit="1" ySplit="8" topLeftCell="AN9" activePane="bottomRight" state="frozen"/>
      <selection pane="topRight" activeCell="B1" sqref="B1"/>
      <selection pane="bottomLeft" activeCell="A9" sqref="A9"/>
      <selection pane="bottomRight" activeCell="AX7" sqref="AX7"/>
    </sheetView>
  </sheetViews>
  <sheetFormatPr defaultColWidth="8.7109375" defaultRowHeight="15" x14ac:dyDescent="0.25"/>
  <cols>
    <col min="1" max="1" customWidth="true" width="40.7109375" collapsed="true"/>
    <col min="2" max="2" customWidth="true" width="13.42578125" collapsed="true"/>
    <col min="3" max="3" customWidth="true" width="11.42578125" collapsed="true"/>
    <col min="4" max="5" customWidth="true" width="10.7109375" collapsed="true"/>
    <col min="18" max="18" customWidth="true" width="9.42578125" collapsed="true"/>
    <col min="25" max="25" customWidth="true" width="18.28515625" collapsed="true"/>
    <col min="38" max="39" bestFit="true" customWidth="true" width="11.28515625" collapsed="true"/>
    <col min="40" max="40" customWidth="true" width="7.7109375" collapsed="true"/>
    <col min="41" max="41" width="9.28515625" collapsed="true"/>
    <col min="49" max="50" customWidth="true" width="14.7109375" collapsed="true"/>
    <col min="52" max="52" width="9.28515625" collapsed="true"/>
    <col min="74" max="75" customWidth="true" width="10.7109375" collapsed="true"/>
    <col min="85" max="85" customWidth="true" width="10.7109375" collapsed="true"/>
    <col min="86" max="89" bestFit="true" customWidth="true" width="11.42578125" collapsed="true"/>
    <col min="90" max="92" customWidth="true" width="11.42578125" collapsed="true"/>
    <col min="93" max="93" bestFit="true" customWidth="true" width="11.42578125" collapsed="true"/>
    <col min="94" max="94" customWidth="true" width="10.42578125" collapsed="true"/>
    <col min="101" max="101" customWidth="true" width="8.7109375" collapsed="true"/>
    <col min="102" max="102" customWidth="true" width="10.0" collapsed="true"/>
  </cols>
  <sheetData>
    <row r="1" spans="1:102" ht="23.25" x14ac:dyDescent="0.25">
      <c r="A1" s="31" t="s">
        <v>6</v>
      </c>
      <c r="B1" s="31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3"/>
      <c r="CK1" s="33"/>
      <c r="CL1" s="33"/>
      <c r="CM1" s="33"/>
      <c r="CN1" s="33"/>
      <c r="CO1" s="33"/>
      <c r="CP1" s="33"/>
      <c r="CQ1" s="33"/>
      <c r="CR1" s="33"/>
      <c r="CS1" s="33"/>
      <c r="CT1" s="33"/>
      <c r="CU1" s="33"/>
      <c r="CV1" s="33"/>
      <c r="CW1" s="33"/>
      <c r="CX1" s="33"/>
    </row>
    <row r="2" spans="1:102" x14ac:dyDescent="0.25">
      <c r="A2" s="32" t="s">
        <v>7</v>
      </c>
      <c r="B2" s="79" t="s">
        <v>8</v>
      </c>
      <c r="C2" s="79" t="s">
        <v>9</v>
      </c>
      <c r="D2" s="79" t="s">
        <v>9</v>
      </c>
      <c r="E2" s="79" t="s">
        <v>9</v>
      </c>
      <c r="F2" s="79" t="s">
        <v>9</v>
      </c>
      <c r="G2" s="79" t="s">
        <v>8</v>
      </c>
      <c r="H2" s="79" t="s">
        <v>10</v>
      </c>
      <c r="I2" s="79" t="s">
        <v>8</v>
      </c>
      <c r="J2" s="79" t="s">
        <v>16</v>
      </c>
      <c r="K2" s="79" t="s">
        <v>9</v>
      </c>
      <c r="L2" s="79" t="s">
        <v>10</v>
      </c>
      <c r="M2" s="79" t="s">
        <v>11</v>
      </c>
      <c r="N2" s="79" t="s">
        <v>12</v>
      </c>
      <c r="O2" s="79" t="s">
        <v>10</v>
      </c>
      <c r="P2" s="79" t="s">
        <v>10</v>
      </c>
      <c r="Q2" s="79" t="s">
        <v>10</v>
      </c>
      <c r="R2" s="79" t="s">
        <v>10</v>
      </c>
      <c r="S2" s="79" t="s">
        <v>10</v>
      </c>
      <c r="T2" s="79" t="s">
        <v>10</v>
      </c>
      <c r="U2" s="79" t="s">
        <v>10</v>
      </c>
      <c r="V2" s="79" t="s">
        <v>8</v>
      </c>
      <c r="W2" s="79" t="s">
        <v>10</v>
      </c>
      <c r="X2" s="79" t="s">
        <v>10</v>
      </c>
      <c r="Y2" s="79" t="s">
        <v>10</v>
      </c>
      <c r="Z2" s="79" t="s">
        <v>10</v>
      </c>
      <c r="AA2" s="79" t="s">
        <v>10</v>
      </c>
      <c r="AB2" s="79" t="s">
        <v>10</v>
      </c>
      <c r="AC2" s="79" t="s">
        <v>10</v>
      </c>
      <c r="AD2" s="79" t="s">
        <v>10</v>
      </c>
      <c r="AE2" s="79" t="s">
        <v>10</v>
      </c>
      <c r="AF2" s="79" t="s">
        <v>10</v>
      </c>
      <c r="AG2" s="79" t="s">
        <v>10</v>
      </c>
      <c r="AH2" s="79" t="s">
        <v>10</v>
      </c>
      <c r="AI2" s="79" t="s">
        <v>10</v>
      </c>
      <c r="AJ2" s="79" t="s">
        <v>10</v>
      </c>
      <c r="AK2" s="79" t="s">
        <v>10</v>
      </c>
      <c r="AL2" s="79" t="s">
        <v>10</v>
      </c>
      <c r="AM2" s="79" t="s">
        <v>8</v>
      </c>
      <c r="AN2" s="79" t="s">
        <v>8</v>
      </c>
      <c r="AO2" s="79" t="s">
        <v>10</v>
      </c>
      <c r="AP2" s="79" t="s">
        <v>10</v>
      </c>
      <c r="AQ2" s="79" t="s">
        <v>10</v>
      </c>
      <c r="AR2" s="79" t="s">
        <v>10</v>
      </c>
      <c r="AS2" s="79" t="s">
        <v>10</v>
      </c>
      <c r="AT2" s="79" t="s">
        <v>10</v>
      </c>
      <c r="AU2" s="79" t="s">
        <v>9</v>
      </c>
      <c r="AV2" s="79" t="s">
        <v>135</v>
      </c>
      <c r="AW2" s="79" t="s">
        <v>14</v>
      </c>
      <c r="AX2" s="79" t="s">
        <v>14</v>
      </c>
      <c r="AY2" s="79" t="s">
        <v>9</v>
      </c>
      <c r="AZ2" s="79" t="s">
        <v>9</v>
      </c>
      <c r="BA2" s="79" t="s">
        <v>9</v>
      </c>
      <c r="BB2" s="79" t="s">
        <v>9</v>
      </c>
      <c r="BC2" s="79" t="s">
        <v>9</v>
      </c>
      <c r="BD2" s="79" t="s">
        <v>9</v>
      </c>
      <c r="BE2" s="79" t="s">
        <v>9</v>
      </c>
      <c r="BF2" s="79" t="s">
        <v>9</v>
      </c>
      <c r="BG2" s="79" t="s">
        <v>9</v>
      </c>
      <c r="BH2" s="79" t="s">
        <v>9</v>
      </c>
      <c r="BI2" s="79" t="s">
        <v>9</v>
      </c>
      <c r="BJ2" s="79" t="s">
        <v>15</v>
      </c>
      <c r="BK2" s="79" t="s">
        <v>9</v>
      </c>
      <c r="BL2" s="79" t="s">
        <v>9</v>
      </c>
      <c r="BM2" s="79" t="s">
        <v>9</v>
      </c>
      <c r="BN2" s="79" t="s">
        <v>9</v>
      </c>
      <c r="BO2" s="79" t="s">
        <v>9</v>
      </c>
      <c r="BP2" s="79" t="s">
        <v>9</v>
      </c>
      <c r="BQ2" s="79" t="s">
        <v>9</v>
      </c>
      <c r="BR2" s="79" t="s">
        <v>9</v>
      </c>
      <c r="BS2" s="79" t="s">
        <v>9</v>
      </c>
      <c r="BT2" s="79" t="s">
        <v>9</v>
      </c>
      <c r="BU2" s="79" t="s">
        <v>9</v>
      </c>
      <c r="BV2" s="79" t="s">
        <v>9</v>
      </c>
      <c r="BW2" s="79" t="s">
        <v>9</v>
      </c>
      <c r="BX2" s="79" t="s">
        <v>9</v>
      </c>
      <c r="BY2" s="79" t="s">
        <v>9</v>
      </c>
      <c r="BZ2" s="79" t="s">
        <v>9</v>
      </c>
      <c r="CA2" s="79" t="s">
        <v>9</v>
      </c>
      <c r="CB2" s="79" t="s">
        <v>9</v>
      </c>
      <c r="CC2" s="79" t="s">
        <v>9</v>
      </c>
      <c r="CD2" s="79" t="s">
        <v>9</v>
      </c>
      <c r="CE2" s="79" t="s">
        <v>9</v>
      </c>
      <c r="CF2" s="79" t="s">
        <v>9</v>
      </c>
      <c r="CG2" s="79" t="s">
        <v>10</v>
      </c>
      <c r="CH2" s="79" t="s">
        <v>10</v>
      </c>
      <c r="CI2" s="79" t="s">
        <v>10</v>
      </c>
      <c r="CJ2" s="79" t="s">
        <v>10</v>
      </c>
      <c r="CK2" s="79" t="s">
        <v>10</v>
      </c>
      <c r="CL2" s="79" t="s">
        <v>10</v>
      </c>
      <c r="CM2" s="79" t="s">
        <v>10</v>
      </c>
      <c r="CN2" s="79" t="s">
        <v>10</v>
      </c>
      <c r="CO2" s="79" t="s">
        <v>16</v>
      </c>
      <c r="CP2" s="79" t="s">
        <v>16</v>
      </c>
      <c r="CQ2" s="79" t="s">
        <v>16</v>
      </c>
      <c r="CR2" s="79" t="s">
        <v>16</v>
      </c>
      <c r="CS2" s="79" t="s">
        <v>16</v>
      </c>
      <c r="CT2" s="79" t="s">
        <v>16</v>
      </c>
      <c r="CU2" s="79" t="s">
        <v>16</v>
      </c>
      <c r="CV2" s="79" t="s">
        <v>16</v>
      </c>
      <c r="CW2" s="79" t="s">
        <v>10</v>
      </c>
      <c r="CX2" s="79" t="s">
        <v>10</v>
      </c>
    </row>
    <row r="3" spans="1:102" x14ac:dyDescent="0.25">
      <c r="A3" s="32" t="s">
        <v>18</v>
      </c>
      <c r="B3" s="79" t="b">
        <f>B8=PAL!B5</f>
        <v>1</v>
      </c>
      <c r="C3" s="79" t="b">
        <f>C8=PAL!C5</f>
        <v>1</v>
      </c>
      <c r="D3" s="79" t="b">
        <f>D8=PAL!D5</f>
        <v>1</v>
      </c>
      <c r="E3" s="79" t="b">
        <f>E8=PAL!E5</f>
        <v>1</v>
      </c>
      <c r="F3" s="79" t="b">
        <f>F8=PAL!F5</f>
        <v>1</v>
      </c>
      <c r="G3" s="79" t="b">
        <f>G8=PAL!G5</f>
        <v>1</v>
      </c>
      <c r="H3" s="79" t="b">
        <f>H8=PAL!H5</f>
        <v>1</v>
      </c>
      <c r="I3" s="79" t="b">
        <f>I8=PAL!I5</f>
        <v>1</v>
      </c>
      <c r="J3" s="79" t="b">
        <f>J8=PAL!J5</f>
        <v>1</v>
      </c>
      <c r="K3" s="79" t="b">
        <f>K8=PAL!K5</f>
        <v>1</v>
      </c>
      <c r="L3" s="79" t="b">
        <f>L8=PAL!L5</f>
        <v>1</v>
      </c>
      <c r="M3" s="79" t="b">
        <f>M8=PAL!M5</f>
        <v>1</v>
      </c>
      <c r="N3" s="79" t="b">
        <f>N8=PAL!N5</f>
        <v>1</v>
      </c>
      <c r="O3" s="79" t="b">
        <f>O8=PAL!O5</f>
        <v>1</v>
      </c>
      <c r="P3" s="79" t="b">
        <f>P8=PAL!P5</f>
        <v>1</v>
      </c>
      <c r="Q3" s="79" t="b">
        <f>Q8=PAL!Q5</f>
        <v>1</v>
      </c>
      <c r="R3" s="79" t="b">
        <f>R8=PAL!R5</f>
        <v>1</v>
      </c>
      <c r="S3" s="79" t="b">
        <f>S8=PAL!S5</f>
        <v>1</v>
      </c>
      <c r="T3" s="79" t="b">
        <f>T8=PAL!T5</f>
        <v>1</v>
      </c>
      <c r="U3" s="79" t="b">
        <f>U8=PAL!U5</f>
        <v>1</v>
      </c>
      <c r="V3" s="79" t="b">
        <f>V8=PAL!V5</f>
        <v>1</v>
      </c>
      <c r="W3" s="79" t="b">
        <f>W8=PAL!W5</f>
        <v>1</v>
      </c>
      <c r="X3" s="79" t="b">
        <f>X8=PAL!X5</f>
        <v>1</v>
      </c>
      <c r="Y3" s="79" t="b">
        <f>Y8=PAL!Y5</f>
        <v>1</v>
      </c>
      <c r="Z3" s="79" t="b">
        <f>Z8=PAL!Z5</f>
        <v>1</v>
      </c>
      <c r="AA3" s="79" t="b">
        <f>AA8=PAL!AA5</f>
        <v>1</v>
      </c>
      <c r="AB3" s="79" t="b">
        <f>AB8=PAL!AB5</f>
        <v>1</v>
      </c>
      <c r="AC3" s="79" t="b">
        <f>AC8=PAL!AC5</f>
        <v>1</v>
      </c>
      <c r="AD3" s="79" t="b">
        <f>AD8=PAL!AD5</f>
        <v>1</v>
      </c>
      <c r="AE3" s="79" t="b">
        <f>AE8=PAL!AE5</f>
        <v>1</v>
      </c>
      <c r="AF3" s="79" t="b">
        <f>AF8=PAL!AF5</f>
        <v>1</v>
      </c>
      <c r="AG3" s="79" t="b">
        <f>AG8=PAL!AG5</f>
        <v>1</v>
      </c>
      <c r="AH3" s="79" t="b">
        <f>AH8=PAL!AH5</f>
        <v>1</v>
      </c>
      <c r="AI3" s="79" t="b">
        <f>AI8=PAL!AI5</f>
        <v>1</v>
      </c>
      <c r="AJ3" s="79" t="b">
        <f>AJ8=PAL!AJ5</f>
        <v>1</v>
      </c>
      <c r="AK3" s="79" t="b">
        <f>AK8=PAL!AK5</f>
        <v>1</v>
      </c>
      <c r="AL3" s="79" t="b">
        <f>AL8=PAL!AL5</f>
        <v>1</v>
      </c>
      <c r="AM3" s="79" t="b">
        <f>AM8=PAL!AM5</f>
        <v>1</v>
      </c>
      <c r="AN3" s="79" t="b">
        <f>AN8=PAL!AN5</f>
        <v>1</v>
      </c>
      <c r="AO3" s="79" t="b">
        <f>AO8=PAL!AO5</f>
        <v>1</v>
      </c>
      <c r="AP3" s="79" t="b">
        <f>AP8=PAL!AP5</f>
        <v>1</v>
      </c>
      <c r="AQ3" s="79" t="b">
        <f>AQ8=PAL!AQ5</f>
        <v>1</v>
      </c>
      <c r="AR3" s="79" t="b">
        <f>AR8=PAL!AR5</f>
        <v>1</v>
      </c>
      <c r="AS3" s="79" t="b">
        <f>AS8=PAL!AS5</f>
        <v>1</v>
      </c>
      <c r="AT3" s="79" t="b">
        <f>AT8=PAL!AT5</f>
        <v>1</v>
      </c>
      <c r="AU3" s="79" t="b">
        <f>AU8=PAL!AU5</f>
        <v>1</v>
      </c>
      <c r="AV3" s="79" t="b">
        <f>AV8=PAL!AV5</f>
        <v>1</v>
      </c>
      <c r="AW3" s="79" t="b">
        <f>AW8=PAL!AW5</f>
        <v>1</v>
      </c>
      <c r="AX3" s="79" t="b">
        <f>AX8=PAL!AX5</f>
        <v>1</v>
      </c>
      <c r="AY3" s="79" t="b">
        <f>AY8=PAL!AY5</f>
        <v>1</v>
      </c>
      <c r="AZ3" s="79" t="b">
        <f>AZ8=PAL!AZ5</f>
        <v>1</v>
      </c>
      <c r="BA3" s="79" t="b">
        <f>BA8=PAL!BA5</f>
        <v>1</v>
      </c>
      <c r="BB3" s="79" t="b">
        <f>BB8=PAL!BB5</f>
        <v>1</v>
      </c>
      <c r="BC3" s="79" t="b">
        <f>BC8=PAL!BC5</f>
        <v>1</v>
      </c>
      <c r="BD3" s="79" t="b">
        <f>BD8=PAL!BD5</f>
        <v>1</v>
      </c>
      <c r="BE3" s="79" t="b">
        <f>BE8=PAL!BE5</f>
        <v>1</v>
      </c>
      <c r="BF3" s="79" t="b">
        <f>BF8=PAL!BF5</f>
        <v>1</v>
      </c>
      <c r="BG3" s="79" t="b">
        <f>BG8=PAL!BG5</f>
        <v>1</v>
      </c>
      <c r="BH3" s="79" t="b">
        <f>BH8=PAL!BH5</f>
        <v>1</v>
      </c>
      <c r="BI3" s="79" t="b">
        <f>BI8=PAL!BI5</f>
        <v>1</v>
      </c>
      <c r="BJ3" s="79" t="b">
        <f>BJ8=PAL!BJ5</f>
        <v>1</v>
      </c>
      <c r="BK3" s="79" t="b">
        <f>BK8=PAL!BK5</f>
        <v>1</v>
      </c>
      <c r="BL3" s="79" t="b">
        <f>BL8=PAL!BL5</f>
        <v>1</v>
      </c>
      <c r="BM3" s="79" t="b">
        <f>BM8=PAL!BM5</f>
        <v>1</v>
      </c>
      <c r="BN3" s="79" t="b">
        <f>BN8=PAL!BN5</f>
        <v>1</v>
      </c>
      <c r="BO3" s="79" t="b">
        <f>BO8=PAL!BO5</f>
        <v>1</v>
      </c>
      <c r="BP3" s="79" t="b">
        <f>BP8=PAL!BP5</f>
        <v>1</v>
      </c>
      <c r="BQ3" s="79" t="b">
        <f>BQ8=PAL!BQ5</f>
        <v>1</v>
      </c>
      <c r="BR3" s="79" t="b">
        <f>BR8=PAL!BR5</f>
        <v>1</v>
      </c>
      <c r="BS3" s="79" t="b">
        <f>BS8=PAL!BS5</f>
        <v>1</v>
      </c>
      <c r="BT3" s="79" t="b">
        <f>BT8=PAL!BT5</f>
        <v>1</v>
      </c>
      <c r="BU3" s="79" t="b">
        <f>BU8=PAL!BU5</f>
        <v>1</v>
      </c>
      <c r="BV3" s="79" t="b">
        <f>BV8=PAL!BV5</f>
        <v>1</v>
      </c>
      <c r="BW3" s="79" t="b">
        <f>BW8=PAL!BW5</f>
        <v>1</v>
      </c>
      <c r="BX3" s="79" t="b">
        <f>BX8=PAL!BX5</f>
        <v>1</v>
      </c>
      <c r="BY3" s="79" t="b">
        <f>BY8=PAL!BY5</f>
        <v>1</v>
      </c>
      <c r="BZ3" s="79" t="b">
        <f>BZ8=PAL!BZ5</f>
        <v>1</v>
      </c>
      <c r="CA3" s="79" t="b">
        <f>CA8=PAL!CA5</f>
        <v>1</v>
      </c>
      <c r="CB3" s="79" t="b">
        <f>CB8=PAL!CB5</f>
        <v>1</v>
      </c>
      <c r="CC3" s="79" t="b">
        <f>CC8=PAL!CC5</f>
        <v>1</v>
      </c>
      <c r="CD3" s="79" t="b">
        <f>CD8=PAL!CD5</f>
        <v>1</v>
      </c>
      <c r="CE3" s="79" t="b">
        <f>CE8=PAL!CE5</f>
        <v>1</v>
      </c>
      <c r="CF3" s="79" t="b">
        <f>CF8=PAL!CF5</f>
        <v>1</v>
      </c>
      <c r="CG3" s="79" t="b">
        <f>CG8=PAL!CG5</f>
        <v>1</v>
      </c>
      <c r="CH3" s="79" t="b">
        <f>CH8=PAL!CH5</f>
        <v>1</v>
      </c>
      <c r="CI3" s="79" t="b">
        <f>CI8=PAL!CI5</f>
        <v>1</v>
      </c>
      <c r="CJ3" s="79" t="b">
        <f>CJ8=PAL!CJ5</f>
        <v>1</v>
      </c>
      <c r="CK3" s="79" t="b">
        <f>CK8=PAL!CK5</f>
        <v>1</v>
      </c>
      <c r="CL3" s="79" t="b">
        <f>CL8=PAL!CL5</f>
        <v>1</v>
      </c>
      <c r="CM3" s="79" t="b">
        <f>CM8=PAL!CM5</f>
        <v>1</v>
      </c>
      <c r="CN3" s="79" t="b">
        <f>CN8=PAL!CN5</f>
        <v>1</v>
      </c>
      <c r="CO3" s="79" t="b">
        <f>CO8=PAL!CO5</f>
        <v>1</v>
      </c>
      <c r="CP3" s="79" t="b">
        <f>CP8=PAL!CP5</f>
        <v>1</v>
      </c>
      <c r="CQ3" s="79" t="b">
        <f>CQ8=PAL!CQ5</f>
        <v>1</v>
      </c>
      <c r="CR3" s="79" t="b">
        <f>CR8=PAL!CR5</f>
        <v>1</v>
      </c>
      <c r="CS3" s="79" t="b">
        <f>CS8=PAL!CS5</f>
        <v>1</v>
      </c>
      <c r="CT3" s="79" t="b">
        <f>CT8=PAL!CT5</f>
        <v>1</v>
      </c>
      <c r="CU3" s="79" t="b">
        <f>CU8=PAL!CU5</f>
        <v>1</v>
      </c>
      <c r="CV3" s="79" t="b">
        <f>CV8=PAL!CV5</f>
        <v>1</v>
      </c>
      <c r="CW3" s="79" t="b">
        <f>CW8=PAL!CW5</f>
        <v>1</v>
      </c>
      <c r="CX3" s="79" t="b">
        <f>CX8=PAL!CX5</f>
        <v>1</v>
      </c>
    </row>
    <row r="4" spans="1:102" x14ac:dyDescent="0.25">
      <c r="A4" s="32" t="s">
        <v>19</v>
      </c>
      <c r="B4" s="79" t="s">
        <v>20</v>
      </c>
      <c r="C4" s="79" t="s">
        <v>21</v>
      </c>
      <c r="D4" s="79" t="s">
        <v>20</v>
      </c>
      <c r="E4" s="79" t="s">
        <v>20</v>
      </c>
      <c r="F4" s="79" t="s">
        <v>20</v>
      </c>
      <c r="G4" s="79" t="s">
        <v>22</v>
      </c>
      <c r="H4" s="79" t="s">
        <v>22</v>
      </c>
      <c r="I4" s="79" t="s">
        <v>22</v>
      </c>
      <c r="J4" s="79" t="s">
        <v>23</v>
      </c>
      <c r="K4" s="79" t="s">
        <v>23</v>
      </c>
      <c r="L4" s="79" t="s">
        <v>23</v>
      </c>
      <c r="M4" s="79" t="s">
        <v>23</v>
      </c>
      <c r="N4" s="79" t="s">
        <v>21</v>
      </c>
      <c r="O4" s="79" t="s">
        <v>23</v>
      </c>
      <c r="P4" s="79" t="s">
        <v>23</v>
      </c>
      <c r="Q4" s="79" t="s">
        <v>24</v>
      </c>
      <c r="R4" s="79" t="s">
        <v>23</v>
      </c>
      <c r="S4" s="79" t="s">
        <v>23</v>
      </c>
      <c r="T4" s="79" t="s">
        <v>23</v>
      </c>
      <c r="U4" s="79" t="s">
        <v>23</v>
      </c>
      <c r="V4" s="79" t="s">
        <v>23</v>
      </c>
      <c r="W4" s="79" t="s">
        <v>23</v>
      </c>
      <c r="X4" s="79" t="s">
        <v>23</v>
      </c>
      <c r="Y4" s="79" t="s">
        <v>23</v>
      </c>
      <c r="Z4" s="79" t="s">
        <v>23</v>
      </c>
      <c r="AA4" s="79" t="s">
        <v>23</v>
      </c>
      <c r="AB4" s="79" t="s">
        <v>23</v>
      </c>
      <c r="AC4" s="79" t="s">
        <v>23</v>
      </c>
      <c r="AD4" s="79" t="s">
        <v>23</v>
      </c>
      <c r="AE4" s="79" t="s">
        <v>23</v>
      </c>
      <c r="AF4" s="79" t="s">
        <v>23</v>
      </c>
      <c r="AG4" s="79" t="s">
        <v>23</v>
      </c>
      <c r="AH4" s="79" t="s">
        <v>23</v>
      </c>
      <c r="AI4" s="79" t="s">
        <v>23</v>
      </c>
      <c r="AJ4" s="79" t="s">
        <v>23</v>
      </c>
      <c r="AK4" s="79" t="s">
        <v>23</v>
      </c>
      <c r="AL4" s="79" t="s">
        <v>23</v>
      </c>
      <c r="AM4" s="79" t="s">
        <v>23</v>
      </c>
      <c r="AN4" s="79" t="s">
        <v>23</v>
      </c>
      <c r="AO4" s="79" t="s">
        <v>23</v>
      </c>
      <c r="AP4" s="79" t="s">
        <v>23</v>
      </c>
      <c r="AQ4" s="79" t="s">
        <v>23</v>
      </c>
      <c r="AR4" s="79" t="s">
        <v>23</v>
      </c>
      <c r="AS4" s="79" t="s">
        <v>23</v>
      </c>
      <c r="AT4" s="79" t="s">
        <v>23</v>
      </c>
      <c r="AU4" s="79" t="s">
        <v>23</v>
      </c>
      <c r="AV4" s="79" t="s">
        <v>21</v>
      </c>
      <c r="AW4" s="79" t="s">
        <v>21</v>
      </c>
      <c r="AX4" s="79" t="s">
        <v>21</v>
      </c>
      <c r="AY4" s="79" t="s">
        <v>23</v>
      </c>
      <c r="AZ4" s="79" t="s">
        <v>23</v>
      </c>
      <c r="BA4" s="79" t="s">
        <v>23</v>
      </c>
      <c r="BB4" s="79" t="s">
        <v>23</v>
      </c>
      <c r="BC4" s="79" t="s">
        <v>23</v>
      </c>
      <c r="BD4" s="79" t="s">
        <v>23</v>
      </c>
      <c r="BE4" s="79" t="s">
        <v>23</v>
      </c>
      <c r="BF4" s="79" t="s">
        <v>23</v>
      </c>
      <c r="BG4" s="79" t="s">
        <v>23</v>
      </c>
      <c r="BH4" s="79" t="s">
        <v>23</v>
      </c>
      <c r="BI4" s="79" t="s">
        <v>23</v>
      </c>
      <c r="BJ4" s="79" t="s">
        <v>23</v>
      </c>
      <c r="BK4" s="79" t="s">
        <v>21</v>
      </c>
      <c r="BL4" s="79" t="s">
        <v>23</v>
      </c>
      <c r="BM4" s="79" t="s">
        <v>23</v>
      </c>
      <c r="BN4" s="79" t="s">
        <v>25</v>
      </c>
      <c r="BO4" s="79" t="s">
        <v>23</v>
      </c>
      <c r="BP4" s="79" t="s">
        <v>23</v>
      </c>
      <c r="BQ4" s="79" t="s">
        <v>23</v>
      </c>
      <c r="BR4" s="79" t="s">
        <v>23</v>
      </c>
      <c r="BS4" s="79" t="s">
        <v>23</v>
      </c>
      <c r="BT4" s="79" t="s">
        <v>23</v>
      </c>
      <c r="BU4" s="79" t="s">
        <v>23</v>
      </c>
      <c r="BV4" s="79" t="s">
        <v>23</v>
      </c>
      <c r="BW4" s="79" t="s">
        <v>23</v>
      </c>
      <c r="BX4" s="79" t="s">
        <v>23</v>
      </c>
      <c r="BY4" s="79" t="s">
        <v>23</v>
      </c>
      <c r="BZ4" s="79" t="s">
        <v>23</v>
      </c>
      <c r="CA4" s="79" t="s">
        <v>23</v>
      </c>
      <c r="CB4" s="79" t="s">
        <v>23</v>
      </c>
      <c r="CC4" s="79" t="s">
        <v>23</v>
      </c>
      <c r="CD4" s="79" t="s">
        <v>23</v>
      </c>
      <c r="CE4" s="79" t="s">
        <v>23</v>
      </c>
      <c r="CF4" s="79" t="s">
        <v>23</v>
      </c>
      <c r="CG4" s="79" t="s">
        <v>23</v>
      </c>
      <c r="CH4" s="79" t="s">
        <v>23</v>
      </c>
      <c r="CI4" s="79" t="s">
        <v>23</v>
      </c>
      <c r="CJ4" s="79" t="s">
        <v>23</v>
      </c>
      <c r="CK4" s="79" t="s">
        <v>23</v>
      </c>
      <c r="CL4" s="79" t="s">
        <v>23</v>
      </c>
      <c r="CM4" s="79" t="s">
        <v>23</v>
      </c>
      <c r="CN4" s="79" t="s">
        <v>23</v>
      </c>
      <c r="CO4" s="79" t="s">
        <v>23</v>
      </c>
      <c r="CP4" s="79" t="s">
        <v>23</v>
      </c>
      <c r="CQ4" s="79" t="s">
        <v>23</v>
      </c>
      <c r="CR4" s="79" t="s">
        <v>23</v>
      </c>
      <c r="CS4" s="79" t="s">
        <v>23</v>
      </c>
      <c r="CT4" s="79" t="s">
        <v>23</v>
      </c>
      <c r="CU4" s="79" t="s">
        <v>23</v>
      </c>
      <c r="CV4" s="79" t="s">
        <v>23</v>
      </c>
      <c r="CW4" s="79" t="s">
        <v>23</v>
      </c>
      <c r="CX4" s="79" t="s">
        <v>23</v>
      </c>
    </row>
    <row r="5" spans="1:102" x14ac:dyDescent="0.25">
      <c r="A5" s="32" t="s">
        <v>26</v>
      </c>
      <c r="B5" s="74" t="s">
        <v>27</v>
      </c>
      <c r="C5" s="74" t="s">
        <v>28</v>
      </c>
      <c r="D5" s="74" t="s">
        <v>27</v>
      </c>
      <c r="E5" s="74" t="s">
        <v>27</v>
      </c>
      <c r="F5" s="74" t="s">
        <v>27</v>
      </c>
      <c r="G5" s="74" t="s">
        <v>27</v>
      </c>
      <c r="H5" s="74" t="s">
        <v>27</v>
      </c>
      <c r="I5" s="74" t="s">
        <v>28</v>
      </c>
      <c r="J5" s="74" t="s">
        <v>27</v>
      </c>
      <c r="K5" s="74" t="s">
        <v>27</v>
      </c>
      <c r="L5" s="74" t="s">
        <v>27</v>
      </c>
      <c r="M5" s="74" t="s">
        <v>27</v>
      </c>
      <c r="N5" s="74" t="s">
        <v>28</v>
      </c>
      <c r="O5" s="74" t="s">
        <v>27</v>
      </c>
      <c r="P5" s="74" t="s">
        <v>27</v>
      </c>
      <c r="Q5" s="74" t="s">
        <v>28</v>
      </c>
      <c r="R5" s="74" t="s">
        <v>27</v>
      </c>
      <c r="S5" s="74" t="s">
        <v>27</v>
      </c>
      <c r="T5" s="74" t="s">
        <v>27</v>
      </c>
      <c r="U5" s="74" t="s">
        <v>27</v>
      </c>
      <c r="V5" s="74" t="s">
        <v>27</v>
      </c>
      <c r="W5" s="74" t="s">
        <v>27</v>
      </c>
      <c r="X5" s="74" t="s">
        <v>27</v>
      </c>
      <c r="Y5" s="74" t="s">
        <v>27</v>
      </c>
      <c r="Z5" s="74" t="s">
        <v>27</v>
      </c>
      <c r="AA5" s="74" t="s">
        <v>27</v>
      </c>
      <c r="AB5" s="74" t="s">
        <v>27</v>
      </c>
      <c r="AC5" s="74" t="s">
        <v>27</v>
      </c>
      <c r="AD5" s="74" t="s">
        <v>27</v>
      </c>
      <c r="AE5" s="74" t="s">
        <v>27</v>
      </c>
      <c r="AF5" s="74" t="s">
        <v>27</v>
      </c>
      <c r="AG5" s="74" t="s">
        <v>27</v>
      </c>
      <c r="AH5" s="74" t="s">
        <v>27</v>
      </c>
      <c r="AI5" s="74" t="s">
        <v>27</v>
      </c>
      <c r="AJ5" s="74" t="s">
        <v>27</v>
      </c>
      <c r="AK5" s="74" t="s">
        <v>27</v>
      </c>
      <c r="AL5" s="74" t="s">
        <v>27</v>
      </c>
      <c r="AM5" s="74" t="s">
        <v>27</v>
      </c>
      <c r="AN5" s="74" t="s">
        <v>27</v>
      </c>
      <c r="AO5" s="74" t="s">
        <v>27</v>
      </c>
      <c r="AP5" s="74" t="s">
        <v>27</v>
      </c>
      <c r="AQ5" s="74" t="s">
        <v>27</v>
      </c>
      <c r="AR5" s="74" t="s">
        <v>27</v>
      </c>
      <c r="AS5" s="74" t="s">
        <v>27</v>
      </c>
      <c r="AT5" s="74" t="s">
        <v>27</v>
      </c>
      <c r="AU5" s="74" t="s">
        <v>27</v>
      </c>
      <c r="AV5" s="74" t="s">
        <v>27</v>
      </c>
      <c r="AW5" s="74" t="s">
        <v>28</v>
      </c>
      <c r="AX5" s="74" t="s">
        <v>28</v>
      </c>
      <c r="AY5" s="74" t="s">
        <v>27</v>
      </c>
      <c r="AZ5" s="74" t="s">
        <v>27</v>
      </c>
      <c r="BA5" s="74" t="s">
        <v>27</v>
      </c>
      <c r="BB5" s="74" t="s">
        <v>27</v>
      </c>
      <c r="BC5" s="74" t="s">
        <v>27</v>
      </c>
      <c r="BD5" s="74" t="s">
        <v>27</v>
      </c>
      <c r="BE5" s="74" t="s">
        <v>27</v>
      </c>
      <c r="BF5" s="74" t="s">
        <v>27</v>
      </c>
      <c r="BG5" s="74" t="s">
        <v>27</v>
      </c>
      <c r="BH5" s="74" t="s">
        <v>27</v>
      </c>
      <c r="BI5" s="74" t="s">
        <v>27</v>
      </c>
      <c r="BJ5" s="74" t="s">
        <v>27</v>
      </c>
      <c r="BK5" s="74" t="s">
        <v>28</v>
      </c>
      <c r="BL5" s="74" t="s">
        <v>27</v>
      </c>
      <c r="BM5" s="74" t="s">
        <v>27</v>
      </c>
      <c r="BN5" s="74" t="s">
        <v>27</v>
      </c>
      <c r="BO5" s="74" t="s">
        <v>27</v>
      </c>
      <c r="BP5" s="74" t="s">
        <v>27</v>
      </c>
      <c r="BQ5" s="74" t="s">
        <v>27</v>
      </c>
      <c r="BR5" s="74" t="s">
        <v>27</v>
      </c>
      <c r="BS5" s="74" t="s">
        <v>27</v>
      </c>
      <c r="BT5" s="74" t="s">
        <v>27</v>
      </c>
      <c r="BU5" s="74" t="s">
        <v>27</v>
      </c>
      <c r="BV5" s="74" t="s">
        <v>27</v>
      </c>
      <c r="BW5" s="74" t="s">
        <v>27</v>
      </c>
      <c r="BX5" s="74" t="s">
        <v>27</v>
      </c>
      <c r="BY5" s="74" t="s">
        <v>27</v>
      </c>
      <c r="BZ5" s="74" t="s">
        <v>27</v>
      </c>
      <c r="CA5" s="74" t="s">
        <v>27</v>
      </c>
      <c r="CB5" s="74" t="s">
        <v>27</v>
      </c>
      <c r="CC5" s="74" t="s">
        <v>27</v>
      </c>
      <c r="CD5" s="74" t="s">
        <v>27</v>
      </c>
      <c r="CE5" s="74" t="s">
        <v>27</v>
      </c>
      <c r="CF5" s="74" t="s">
        <v>27</v>
      </c>
      <c r="CG5" s="74" t="s">
        <v>27</v>
      </c>
      <c r="CH5" s="74" t="s">
        <v>27</v>
      </c>
      <c r="CI5" s="74" t="s">
        <v>27</v>
      </c>
      <c r="CJ5" s="74" t="s">
        <v>27</v>
      </c>
      <c r="CK5" s="74" t="s">
        <v>27</v>
      </c>
      <c r="CL5" s="74" t="s">
        <v>27</v>
      </c>
      <c r="CM5" s="74" t="s">
        <v>27</v>
      </c>
      <c r="CN5" s="74" t="s">
        <v>27</v>
      </c>
      <c r="CO5" s="74" t="s">
        <v>27</v>
      </c>
      <c r="CP5" s="74" t="s">
        <v>27</v>
      </c>
      <c r="CQ5" s="74" t="s">
        <v>27</v>
      </c>
      <c r="CR5" s="74" t="s">
        <v>27</v>
      </c>
      <c r="CS5" s="74" t="s">
        <v>27</v>
      </c>
      <c r="CT5" s="74" t="s">
        <v>27</v>
      </c>
      <c r="CU5" s="74" t="s">
        <v>27</v>
      </c>
      <c r="CV5" s="74" t="s">
        <v>27</v>
      </c>
      <c r="CW5" s="74" t="s">
        <v>27</v>
      </c>
      <c r="CX5" s="74" t="s">
        <v>27</v>
      </c>
    </row>
    <row r="6" spans="1:10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</row>
    <row r="7" spans="1:102" s="28" customFormat="1" ht="15" customHeight="1" x14ac:dyDescent="0.25">
      <c r="A7" s="54" t="s">
        <v>557</v>
      </c>
      <c r="B7" s="54" t="s">
        <v>445</v>
      </c>
      <c r="C7" s="32" t="s">
        <v>447</v>
      </c>
      <c r="D7" s="32" t="s">
        <v>446</v>
      </c>
      <c r="E7" s="32" t="s">
        <v>560</v>
      </c>
      <c r="F7" s="32" t="s">
        <v>452</v>
      </c>
      <c r="G7" s="32" t="s">
        <v>569</v>
      </c>
      <c r="H7" s="32" t="s">
        <v>570</v>
      </c>
      <c r="I7" s="32" t="s">
        <v>448</v>
      </c>
      <c r="J7" s="32" t="s">
        <v>573</v>
      </c>
      <c r="K7" s="32" t="s">
        <v>541</v>
      </c>
      <c r="L7" s="32" t="s">
        <v>542</v>
      </c>
      <c r="M7" s="32" t="s">
        <v>543</v>
      </c>
      <c r="N7" s="32" t="s">
        <v>453</v>
      </c>
      <c r="O7" s="32" t="s">
        <v>454</v>
      </c>
      <c r="P7" s="32" t="s">
        <v>459</v>
      </c>
      <c r="Q7" s="32" t="s">
        <v>458</v>
      </c>
      <c r="R7" s="32" t="s">
        <v>460</v>
      </c>
      <c r="S7" s="32" t="s">
        <v>461</v>
      </c>
      <c r="T7" s="32" t="s">
        <v>462</v>
      </c>
      <c r="U7" s="32" t="s">
        <v>574</v>
      </c>
      <c r="V7" s="32" t="s">
        <v>449</v>
      </c>
      <c r="W7" s="32" t="s">
        <v>450</v>
      </c>
      <c r="X7" s="32" t="s">
        <v>463</v>
      </c>
      <c r="Y7" s="32" t="s">
        <v>464</v>
      </c>
      <c r="Z7" s="32" t="s">
        <v>465</v>
      </c>
      <c r="AA7" s="32" t="s">
        <v>466</v>
      </c>
      <c r="AB7" s="32" t="s">
        <v>575</v>
      </c>
      <c r="AC7" s="32" t="s">
        <v>467</v>
      </c>
      <c r="AD7" s="32" t="s">
        <v>468</v>
      </c>
      <c r="AE7" s="32" t="s">
        <v>469</v>
      </c>
      <c r="AF7" s="32" t="s">
        <v>470</v>
      </c>
      <c r="AG7" s="32" t="s">
        <v>471</v>
      </c>
      <c r="AH7" s="32" t="s">
        <v>472</v>
      </c>
      <c r="AI7" s="32" t="s">
        <v>473</v>
      </c>
      <c r="AJ7" s="32" t="s">
        <v>474</v>
      </c>
      <c r="AK7" s="32" t="s">
        <v>475</v>
      </c>
      <c r="AL7" s="32" t="s">
        <v>476</v>
      </c>
      <c r="AM7" s="32" t="s">
        <v>477</v>
      </c>
      <c r="AN7" s="32" t="s">
        <v>478</v>
      </c>
      <c r="AO7" s="32" t="s">
        <v>451</v>
      </c>
      <c r="AP7" s="32" t="s">
        <v>479</v>
      </c>
      <c r="AQ7" s="32" t="s">
        <v>480</v>
      </c>
      <c r="AR7" s="32" t="s">
        <v>481</v>
      </c>
      <c r="AS7" s="32" t="s">
        <v>482</v>
      </c>
      <c r="AT7" s="32" t="s">
        <v>483</v>
      </c>
      <c r="AU7" s="32" t="s">
        <v>484</v>
      </c>
      <c r="AV7" s="32" t="s">
        <v>562</v>
      </c>
      <c r="AW7" s="32" t="s">
        <v>486</v>
      </c>
      <c r="AX7" s="32" t="s">
        <v>579</v>
      </c>
      <c r="AY7" s="32" t="s">
        <v>487</v>
      </c>
      <c r="AZ7" s="32" t="s">
        <v>488</v>
      </c>
      <c r="BA7" s="32" t="s">
        <v>489</v>
      </c>
      <c r="BB7" s="32" t="s">
        <v>490</v>
      </c>
      <c r="BC7" s="32" t="s">
        <v>491</v>
      </c>
      <c r="BD7" s="32" t="s">
        <v>492</v>
      </c>
      <c r="BE7" s="32" t="s">
        <v>493</v>
      </c>
      <c r="BF7" s="32" t="s">
        <v>494</v>
      </c>
      <c r="BG7" s="32" t="s">
        <v>495</v>
      </c>
      <c r="BH7" s="32" t="s">
        <v>496</v>
      </c>
      <c r="BI7" s="32" t="s">
        <v>497</v>
      </c>
      <c r="BJ7" s="32" t="s">
        <v>498</v>
      </c>
      <c r="BK7" s="32" t="s">
        <v>577</v>
      </c>
      <c r="BL7" s="32" t="s">
        <v>499</v>
      </c>
      <c r="BM7" s="32" t="s">
        <v>500</v>
      </c>
      <c r="BN7" s="32" t="s">
        <v>501</v>
      </c>
      <c r="BO7" s="32" t="s">
        <v>502</v>
      </c>
      <c r="BP7" s="32" t="s">
        <v>503</v>
      </c>
      <c r="BQ7" s="32" t="s">
        <v>504</v>
      </c>
      <c r="BR7" s="32" t="s">
        <v>505</v>
      </c>
      <c r="BS7" s="32" t="s">
        <v>506</v>
      </c>
      <c r="BT7" s="32" t="s">
        <v>507</v>
      </c>
      <c r="BU7" s="32" t="s">
        <v>508</v>
      </c>
      <c r="BV7" s="32" t="s">
        <v>509</v>
      </c>
      <c r="BW7" s="32" t="s">
        <v>510</v>
      </c>
      <c r="BX7" s="32" t="s">
        <v>511</v>
      </c>
      <c r="BY7" s="32" t="s">
        <v>512</v>
      </c>
      <c r="BZ7" s="32" t="s">
        <v>513</v>
      </c>
      <c r="CA7" s="32" t="s">
        <v>514</v>
      </c>
      <c r="CB7" s="32" t="s">
        <v>515</v>
      </c>
      <c r="CC7" s="32" t="s">
        <v>516</v>
      </c>
      <c r="CD7" s="32" t="s">
        <v>517</v>
      </c>
      <c r="CE7" s="32" t="s">
        <v>565</v>
      </c>
      <c r="CF7" s="32" t="s">
        <v>576</v>
      </c>
      <c r="CG7" s="32" t="s">
        <v>518</v>
      </c>
      <c r="CH7" s="32" t="s">
        <v>519</v>
      </c>
      <c r="CI7" s="32" t="s">
        <v>520</v>
      </c>
      <c r="CJ7" s="32" t="s">
        <v>521</v>
      </c>
      <c r="CK7" s="32" t="s">
        <v>522</v>
      </c>
      <c r="CL7" s="32" t="s">
        <v>523</v>
      </c>
      <c r="CM7" s="32" t="s">
        <v>528</v>
      </c>
      <c r="CN7" s="32" t="s">
        <v>527</v>
      </c>
      <c r="CO7" s="32" t="s">
        <v>529</v>
      </c>
      <c r="CP7" s="32" t="s">
        <v>530</v>
      </c>
      <c r="CQ7" s="32" t="s">
        <v>531</v>
      </c>
      <c r="CR7" s="32" t="s">
        <v>532</v>
      </c>
      <c r="CS7" s="32" t="s">
        <v>533</v>
      </c>
      <c r="CT7" s="32" t="s">
        <v>534</v>
      </c>
      <c r="CU7" s="32" t="s">
        <v>535</v>
      </c>
      <c r="CV7" s="32" t="s">
        <v>536</v>
      </c>
      <c r="CW7" s="32" t="s">
        <v>539</v>
      </c>
      <c r="CX7" s="32" t="s">
        <v>540</v>
      </c>
    </row>
    <row r="8" spans="1:102" s="30" customFormat="1" ht="45" x14ac:dyDescent="0.15">
      <c r="A8" s="34">
        <f>COUNTA(C8:CV8)+1</f>
        <v>99</v>
      </c>
      <c r="B8" s="64" t="s">
        <v>29</v>
      </c>
      <c r="C8" s="64" t="s">
        <v>455</v>
      </c>
      <c r="D8" s="64" t="s">
        <v>31</v>
      </c>
      <c r="E8" s="64" t="s">
        <v>561</v>
      </c>
      <c r="F8" s="64" t="s">
        <v>32</v>
      </c>
      <c r="G8" s="66" t="s">
        <v>567</v>
      </c>
      <c r="H8" s="62" t="s">
        <v>568</v>
      </c>
      <c r="I8" s="66" t="s">
        <v>34</v>
      </c>
      <c r="J8" s="67" t="s">
        <v>572</v>
      </c>
      <c r="K8" s="64" t="s">
        <v>35</v>
      </c>
      <c r="L8" s="62" t="s">
        <v>36</v>
      </c>
      <c r="M8" s="63" t="s">
        <v>37</v>
      </c>
      <c r="N8" s="75" t="s">
        <v>38</v>
      </c>
      <c r="O8" s="62" t="s">
        <v>456</v>
      </c>
      <c r="P8" s="106" t="s">
        <v>457</v>
      </c>
      <c r="Q8" s="62" t="s">
        <v>41</v>
      </c>
      <c r="R8" s="62" t="s">
        <v>44</v>
      </c>
      <c r="S8" s="62" t="s">
        <v>45</v>
      </c>
      <c r="T8" s="62" t="s">
        <v>46</v>
      </c>
      <c r="U8" s="62" t="s">
        <v>151</v>
      </c>
      <c r="V8" s="66" t="s">
        <v>47</v>
      </c>
      <c r="W8" s="62" t="s">
        <v>48</v>
      </c>
      <c r="X8" s="62" t="s">
        <v>50</v>
      </c>
      <c r="Y8" s="62" t="s">
        <v>51</v>
      </c>
      <c r="Z8" s="62" t="s">
        <v>52</v>
      </c>
      <c r="AA8" s="62" t="s">
        <v>53</v>
      </c>
      <c r="AB8" s="62" t="s">
        <v>571</v>
      </c>
      <c r="AC8" s="62" t="s">
        <v>54</v>
      </c>
      <c r="AD8" s="62" t="s">
        <v>55</v>
      </c>
      <c r="AE8" s="62" t="s">
        <v>56</v>
      </c>
      <c r="AF8" s="62" t="s">
        <v>57</v>
      </c>
      <c r="AG8" s="62" t="s">
        <v>58</v>
      </c>
      <c r="AH8" s="62" t="s">
        <v>59</v>
      </c>
      <c r="AI8" s="62" t="s">
        <v>60</v>
      </c>
      <c r="AJ8" s="62" t="s">
        <v>61</v>
      </c>
      <c r="AK8" s="62" t="s">
        <v>62</v>
      </c>
      <c r="AL8" s="62" t="s">
        <v>64</v>
      </c>
      <c r="AM8" s="66" t="s">
        <v>65</v>
      </c>
      <c r="AN8" s="66" t="s">
        <v>66</v>
      </c>
      <c r="AO8" s="62" t="s">
        <v>67</v>
      </c>
      <c r="AP8" s="62" t="s">
        <v>68</v>
      </c>
      <c r="AQ8" s="62" t="s">
        <v>69</v>
      </c>
      <c r="AR8" s="62" t="s">
        <v>70</v>
      </c>
      <c r="AS8" s="62" t="s">
        <v>71</v>
      </c>
      <c r="AT8" s="62" t="s">
        <v>72</v>
      </c>
      <c r="AU8" s="64" t="s">
        <v>73</v>
      </c>
      <c r="AV8" s="124" t="s">
        <v>563</v>
      </c>
      <c r="AW8" s="76" t="s">
        <v>485</v>
      </c>
      <c r="AX8" s="76" t="s">
        <v>578</v>
      </c>
      <c r="AY8" s="64" t="s">
        <v>75</v>
      </c>
      <c r="AZ8" s="64" t="s">
        <v>77</v>
      </c>
      <c r="BA8" s="64" t="s">
        <v>78</v>
      </c>
      <c r="BB8" s="64" t="s">
        <v>79</v>
      </c>
      <c r="BC8" s="64" t="s">
        <v>80</v>
      </c>
      <c r="BD8" s="64" t="s">
        <v>81</v>
      </c>
      <c r="BE8" s="64" t="s">
        <v>82</v>
      </c>
      <c r="BF8" s="64" t="s">
        <v>83</v>
      </c>
      <c r="BG8" s="64" t="s">
        <v>85</v>
      </c>
      <c r="BH8" s="64" t="s">
        <v>86</v>
      </c>
      <c r="BI8" s="64" t="s">
        <v>87</v>
      </c>
      <c r="BJ8" s="64" t="s">
        <v>88</v>
      </c>
      <c r="BK8" s="64" t="s">
        <v>91</v>
      </c>
      <c r="BL8" s="64" t="s">
        <v>92</v>
      </c>
      <c r="BM8" s="64" t="s">
        <v>93</v>
      </c>
      <c r="BN8" s="64" t="s">
        <v>94</v>
      </c>
      <c r="BO8" s="64" t="s">
        <v>95</v>
      </c>
      <c r="BP8" s="64" t="s">
        <v>96</v>
      </c>
      <c r="BQ8" s="64" t="s">
        <v>97</v>
      </c>
      <c r="BR8" s="64" t="s">
        <v>98</v>
      </c>
      <c r="BS8" s="64" t="s">
        <v>99</v>
      </c>
      <c r="BT8" s="64" t="s">
        <v>100</v>
      </c>
      <c r="BU8" s="64" t="s">
        <v>101</v>
      </c>
      <c r="BV8" s="64" t="s">
        <v>102</v>
      </c>
      <c r="BW8" s="64" t="s">
        <v>103</v>
      </c>
      <c r="BX8" s="64" t="s">
        <v>104</v>
      </c>
      <c r="BY8" s="64" t="s">
        <v>105</v>
      </c>
      <c r="BZ8" s="65" t="s">
        <v>106</v>
      </c>
      <c r="CA8" s="64" t="s">
        <v>107</v>
      </c>
      <c r="CB8" s="64" t="s">
        <v>108</v>
      </c>
      <c r="CC8" s="64" t="s">
        <v>109</v>
      </c>
      <c r="CD8" s="64" t="s">
        <v>110</v>
      </c>
      <c r="CE8" s="64" t="s">
        <v>564</v>
      </c>
      <c r="CF8" s="64" t="s">
        <v>566</v>
      </c>
      <c r="CG8" s="62" t="s">
        <v>111</v>
      </c>
      <c r="CH8" s="62" t="s">
        <v>112</v>
      </c>
      <c r="CI8" s="62" t="s">
        <v>113</v>
      </c>
      <c r="CJ8" s="62" t="s">
        <v>114</v>
      </c>
      <c r="CK8" s="62" t="s">
        <v>115</v>
      </c>
      <c r="CL8" s="62" t="s">
        <v>524</v>
      </c>
      <c r="CM8" s="62" t="s">
        <v>525</v>
      </c>
      <c r="CN8" s="62" t="s">
        <v>526</v>
      </c>
      <c r="CO8" s="67" t="s">
        <v>116</v>
      </c>
      <c r="CP8" s="67" t="s">
        <v>117</v>
      </c>
      <c r="CQ8" s="67" t="s">
        <v>118</v>
      </c>
      <c r="CR8" s="67" t="s">
        <v>119</v>
      </c>
      <c r="CS8" s="67" t="s">
        <v>120</v>
      </c>
      <c r="CT8" s="67" t="s">
        <v>121</v>
      </c>
      <c r="CU8" s="67" t="s">
        <v>122</v>
      </c>
      <c r="CV8" s="67" t="s">
        <v>123</v>
      </c>
      <c r="CW8" s="62" t="s">
        <v>537</v>
      </c>
      <c r="CX8" s="62" t="s">
        <v>538</v>
      </c>
    </row>
    <row r="9" spans="1:102" x14ac:dyDescent="0.25">
      <c r="A9" s="42" t="s">
        <v>125</v>
      </c>
      <c r="B9" s="72" t="s">
        <v>126</v>
      </c>
      <c r="C9" s="72" t="s">
        <v>126</v>
      </c>
      <c r="D9" s="52" t="s">
        <v>126</v>
      </c>
      <c r="E9" s="52" t="s">
        <v>126</v>
      </c>
      <c r="F9" s="52" t="s">
        <v>126</v>
      </c>
      <c r="G9" s="52" t="s">
        <v>126</v>
      </c>
      <c r="H9" s="52" t="s">
        <v>126</v>
      </c>
      <c r="I9" s="52" t="s">
        <v>126</v>
      </c>
      <c r="J9" s="52" t="s">
        <v>126</v>
      </c>
      <c r="K9" s="52" t="s">
        <v>126</v>
      </c>
      <c r="L9" s="52" t="s">
        <v>126</v>
      </c>
      <c r="M9" s="52" t="s">
        <v>126</v>
      </c>
      <c r="N9" s="52" t="s">
        <v>126</v>
      </c>
      <c r="O9" s="52" t="s">
        <v>126</v>
      </c>
      <c r="P9" s="52" t="s">
        <v>126</v>
      </c>
      <c r="Q9" s="52" t="s">
        <v>126</v>
      </c>
      <c r="R9" s="52" t="s">
        <v>126</v>
      </c>
      <c r="S9" s="52" t="s">
        <v>126</v>
      </c>
      <c r="T9" s="52" t="s">
        <v>126</v>
      </c>
      <c r="U9" s="52" t="s">
        <v>126</v>
      </c>
      <c r="V9" s="52" t="s">
        <v>126</v>
      </c>
      <c r="W9" s="52" t="s">
        <v>126</v>
      </c>
      <c r="X9" s="52" t="s">
        <v>126</v>
      </c>
      <c r="Y9" s="52" t="s">
        <v>126</v>
      </c>
      <c r="Z9" s="52" t="s">
        <v>126</v>
      </c>
      <c r="AA9" s="52" t="s">
        <v>126</v>
      </c>
      <c r="AB9" s="52" t="s">
        <v>126</v>
      </c>
      <c r="AC9" s="52" t="s">
        <v>126</v>
      </c>
      <c r="AD9" s="52" t="s">
        <v>126</v>
      </c>
      <c r="AE9" s="52" t="s">
        <v>126</v>
      </c>
      <c r="AF9" s="52" t="s">
        <v>126</v>
      </c>
      <c r="AG9" s="52" t="s">
        <v>126</v>
      </c>
      <c r="AH9" s="52" t="s">
        <v>126</v>
      </c>
      <c r="AI9" s="52" t="s">
        <v>126</v>
      </c>
      <c r="AJ9" s="52" t="s">
        <v>126</v>
      </c>
      <c r="AK9" s="52" t="s">
        <v>126</v>
      </c>
      <c r="AL9" s="52" t="s">
        <v>126</v>
      </c>
      <c r="AM9" s="52" t="s">
        <v>126</v>
      </c>
      <c r="AN9" s="52" t="s">
        <v>126</v>
      </c>
      <c r="AO9" s="52" t="s">
        <v>126</v>
      </c>
      <c r="AP9" s="52" t="s">
        <v>126</v>
      </c>
      <c r="AQ9" s="52" t="s">
        <v>126</v>
      </c>
      <c r="AR9" s="52" t="s">
        <v>126</v>
      </c>
      <c r="AS9" s="52" t="s">
        <v>126</v>
      </c>
      <c r="AT9" s="52" t="s">
        <v>126</v>
      </c>
      <c r="AU9" s="52" t="s">
        <v>126</v>
      </c>
      <c r="AV9" s="52" t="s">
        <v>126</v>
      </c>
      <c r="AW9" s="52" t="s">
        <v>126</v>
      </c>
      <c r="AX9" s="52" t="s">
        <v>126</v>
      </c>
      <c r="AY9" s="52" t="s">
        <v>126</v>
      </c>
      <c r="AZ9" s="52" t="s">
        <v>126</v>
      </c>
      <c r="BA9" s="52" t="s">
        <v>126</v>
      </c>
      <c r="BB9" s="52" t="s">
        <v>126</v>
      </c>
      <c r="BC9" s="52"/>
      <c r="BD9" s="52" t="s">
        <v>126</v>
      </c>
      <c r="BE9" s="52" t="s">
        <v>126</v>
      </c>
      <c r="BF9" s="52" t="s">
        <v>126</v>
      </c>
      <c r="BG9" s="52" t="s">
        <v>126</v>
      </c>
      <c r="BH9" s="52" t="s">
        <v>126</v>
      </c>
      <c r="BI9" s="52" t="s">
        <v>126</v>
      </c>
      <c r="BJ9" s="52" t="s">
        <v>126</v>
      </c>
      <c r="BK9" s="52" t="s">
        <v>126</v>
      </c>
      <c r="BL9" s="52" t="s">
        <v>126</v>
      </c>
      <c r="BM9" s="52" t="s">
        <v>126</v>
      </c>
      <c r="BN9" s="52" t="s">
        <v>126</v>
      </c>
      <c r="BO9" s="52" t="s">
        <v>126</v>
      </c>
      <c r="BP9" s="52" t="s">
        <v>126</v>
      </c>
      <c r="BQ9" s="52" t="s">
        <v>126</v>
      </c>
      <c r="BR9" s="52" t="s">
        <v>126</v>
      </c>
      <c r="BS9" s="52" t="s">
        <v>126</v>
      </c>
      <c r="BT9" s="52" t="s">
        <v>126</v>
      </c>
      <c r="BU9" s="52" t="s">
        <v>126</v>
      </c>
      <c r="BV9" s="52" t="s">
        <v>126</v>
      </c>
      <c r="BW9" s="52" t="s">
        <v>126</v>
      </c>
      <c r="BX9" s="52" t="s">
        <v>126</v>
      </c>
      <c r="BY9" s="52" t="s">
        <v>126</v>
      </c>
      <c r="BZ9" s="52" t="s">
        <v>126</v>
      </c>
      <c r="CA9" s="52" t="s">
        <v>126</v>
      </c>
      <c r="CB9" s="52" t="s">
        <v>126</v>
      </c>
      <c r="CC9" s="52" t="s">
        <v>126</v>
      </c>
      <c r="CD9" s="52" t="s">
        <v>126</v>
      </c>
      <c r="CE9" s="52" t="s">
        <v>126</v>
      </c>
      <c r="CF9" s="52" t="s">
        <v>126</v>
      </c>
      <c r="CG9" s="52" t="s">
        <v>126</v>
      </c>
      <c r="CH9" s="52" t="s">
        <v>126</v>
      </c>
      <c r="CI9" s="52" t="s">
        <v>126</v>
      </c>
      <c r="CJ9" s="52" t="s">
        <v>126</v>
      </c>
      <c r="CK9" s="52" t="s">
        <v>126</v>
      </c>
      <c r="CL9" s="52" t="s">
        <v>126</v>
      </c>
      <c r="CM9" s="52" t="s">
        <v>126</v>
      </c>
      <c r="CN9" s="52" t="s">
        <v>126</v>
      </c>
      <c r="CO9" s="52" t="s">
        <v>126</v>
      </c>
      <c r="CP9" s="52" t="s">
        <v>126</v>
      </c>
      <c r="CQ9" s="52" t="s">
        <v>126</v>
      </c>
      <c r="CR9" s="52" t="s">
        <v>126</v>
      </c>
      <c r="CS9" s="52" t="s">
        <v>126</v>
      </c>
      <c r="CT9" s="52" t="s">
        <v>126</v>
      </c>
      <c r="CU9" s="52" t="s">
        <v>126</v>
      </c>
      <c r="CV9" s="52" t="s">
        <v>126</v>
      </c>
      <c r="CW9" s="52" t="s">
        <v>126</v>
      </c>
      <c r="CX9" s="52" t="s">
        <v>126</v>
      </c>
    </row>
    <row r="10" spans="1:102" x14ac:dyDescent="0.25">
      <c r="A10" s="29" t="s">
        <v>9</v>
      </c>
      <c r="B10" s="41" t="s">
        <v>126</v>
      </c>
      <c r="C10" s="41" t="s">
        <v>126</v>
      </c>
      <c r="D10" s="41" t="s">
        <v>126</v>
      </c>
      <c r="E10" s="41" t="s">
        <v>126</v>
      </c>
      <c r="F10" s="41" t="s">
        <v>126</v>
      </c>
      <c r="G10" s="41" t="s">
        <v>126</v>
      </c>
      <c r="H10" s="41" t="s">
        <v>126</v>
      </c>
      <c r="I10" s="41" t="s">
        <v>126</v>
      </c>
      <c r="J10" s="41" t="s">
        <v>126</v>
      </c>
      <c r="K10" s="41" t="s">
        <v>126</v>
      </c>
      <c r="L10" s="41" t="s">
        <v>126</v>
      </c>
      <c r="M10" s="41" t="s">
        <v>126</v>
      </c>
      <c r="N10" s="41" t="s">
        <v>126</v>
      </c>
      <c r="O10" s="41" t="s">
        <v>126</v>
      </c>
      <c r="P10" s="41" t="s">
        <v>126</v>
      </c>
      <c r="Q10" s="41" t="s">
        <v>126</v>
      </c>
      <c r="R10" s="41"/>
      <c r="S10" s="41" t="s">
        <v>126</v>
      </c>
      <c r="T10" s="41"/>
      <c r="U10" s="41"/>
      <c r="V10" s="41" t="s">
        <v>126</v>
      </c>
      <c r="W10" s="41" t="s">
        <v>126</v>
      </c>
      <c r="X10" s="41"/>
      <c r="Y10" s="41"/>
      <c r="Z10" s="41" t="s">
        <v>126</v>
      </c>
      <c r="AA10" s="41"/>
      <c r="AB10" s="41"/>
      <c r="AC10" s="41"/>
      <c r="AD10" s="41"/>
      <c r="AE10" s="41"/>
      <c r="AF10" s="41" t="s">
        <v>126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 t="s">
        <v>126</v>
      </c>
      <c r="AQ10" s="41" t="s">
        <v>126</v>
      </c>
      <c r="AR10" s="41" t="s">
        <v>126</v>
      </c>
      <c r="AS10" s="41" t="s">
        <v>126</v>
      </c>
      <c r="AT10" s="41" t="s">
        <v>126</v>
      </c>
      <c r="AU10" s="41" t="s">
        <v>126</v>
      </c>
      <c r="AV10" s="41" t="s">
        <v>126</v>
      </c>
      <c r="AW10" s="41" t="s">
        <v>126</v>
      </c>
      <c r="AX10" s="41" t="s">
        <v>126</v>
      </c>
      <c r="AY10" s="41" t="s">
        <v>126</v>
      </c>
      <c r="AZ10" s="41" t="s">
        <v>126</v>
      </c>
      <c r="BA10" s="41" t="s">
        <v>126</v>
      </c>
      <c r="BB10" s="41" t="s">
        <v>126</v>
      </c>
      <c r="BC10" s="41"/>
      <c r="BD10" s="41" t="s">
        <v>126</v>
      </c>
      <c r="BE10" s="41" t="s">
        <v>126</v>
      </c>
      <c r="BF10" s="41" t="s">
        <v>126</v>
      </c>
      <c r="BG10" s="41" t="s">
        <v>126</v>
      </c>
      <c r="BH10" s="41" t="s">
        <v>126</v>
      </c>
      <c r="BI10" s="41" t="s">
        <v>126</v>
      </c>
      <c r="BJ10" s="41" t="s">
        <v>126</v>
      </c>
      <c r="BK10" s="41" t="s">
        <v>126</v>
      </c>
      <c r="BL10" s="41" t="s">
        <v>126</v>
      </c>
      <c r="BM10" s="41" t="s">
        <v>126</v>
      </c>
      <c r="BN10" s="41" t="s">
        <v>126</v>
      </c>
      <c r="BO10" s="41" t="s">
        <v>126</v>
      </c>
      <c r="BP10" s="41" t="s">
        <v>126</v>
      </c>
      <c r="BQ10" s="41" t="s">
        <v>126</v>
      </c>
      <c r="BR10" s="41" t="s">
        <v>126</v>
      </c>
      <c r="BS10" s="41" t="s">
        <v>126</v>
      </c>
      <c r="BT10" s="41" t="s">
        <v>126</v>
      </c>
      <c r="BU10" s="41" t="s">
        <v>126</v>
      </c>
      <c r="BV10" s="41" t="s">
        <v>126</v>
      </c>
      <c r="BW10" s="41" t="s">
        <v>126</v>
      </c>
      <c r="BX10" s="41" t="s">
        <v>126</v>
      </c>
      <c r="BY10" s="41" t="s">
        <v>126</v>
      </c>
      <c r="BZ10" s="41" t="s">
        <v>126</v>
      </c>
      <c r="CA10" s="41" t="s">
        <v>126</v>
      </c>
      <c r="CB10" s="41" t="s">
        <v>126</v>
      </c>
      <c r="CC10" s="41" t="s">
        <v>126</v>
      </c>
      <c r="CD10" s="41" t="s">
        <v>126</v>
      </c>
      <c r="CE10" s="41" t="s">
        <v>126</v>
      </c>
      <c r="CF10" s="41" t="s">
        <v>126</v>
      </c>
      <c r="CG10" s="41" t="s">
        <v>126</v>
      </c>
      <c r="CH10" s="41" t="s">
        <v>126</v>
      </c>
      <c r="CI10" s="41" t="s">
        <v>126</v>
      </c>
      <c r="CJ10" s="41"/>
      <c r="CK10" s="41"/>
      <c r="CL10" s="41"/>
      <c r="CM10" s="41"/>
      <c r="CN10" s="41"/>
      <c r="CO10" s="41" t="s">
        <v>126</v>
      </c>
      <c r="CP10" s="41"/>
      <c r="CQ10" s="41"/>
      <c r="CR10" s="41"/>
      <c r="CS10" s="41" t="s">
        <v>126</v>
      </c>
      <c r="CT10" s="41"/>
      <c r="CU10" s="41" t="s">
        <v>126</v>
      </c>
      <c r="CV10" s="41"/>
      <c r="CW10" s="52" t="s">
        <v>126</v>
      </c>
      <c r="CX10" s="52" t="s">
        <v>126</v>
      </c>
    </row>
    <row r="11" spans="1:102" x14ac:dyDescent="0.25">
      <c r="A11" s="29" t="s">
        <v>127</v>
      </c>
      <c r="B11" s="41" t="s">
        <v>126</v>
      </c>
      <c r="C11" s="41" t="s">
        <v>126</v>
      </c>
      <c r="D11" s="41" t="s">
        <v>126</v>
      </c>
      <c r="E11" s="41" t="s">
        <v>126</v>
      </c>
      <c r="F11" s="41" t="s">
        <v>126</v>
      </c>
      <c r="G11" s="41" t="s">
        <v>126</v>
      </c>
      <c r="H11" s="41" t="s">
        <v>126</v>
      </c>
      <c r="I11" s="41" t="s">
        <v>126</v>
      </c>
      <c r="J11" s="41" t="s">
        <v>126</v>
      </c>
      <c r="K11" s="41" t="s">
        <v>126</v>
      </c>
      <c r="L11" s="41" t="s">
        <v>126</v>
      </c>
      <c r="M11" s="41" t="s">
        <v>126</v>
      </c>
      <c r="N11" s="41" t="s">
        <v>126</v>
      </c>
      <c r="O11" s="41" t="s">
        <v>126</v>
      </c>
      <c r="P11" s="41" t="s">
        <v>126</v>
      </c>
      <c r="Q11" s="41" t="s">
        <v>126</v>
      </c>
      <c r="R11" s="41"/>
      <c r="S11" s="41"/>
      <c r="T11" s="41" t="s">
        <v>126</v>
      </c>
      <c r="U11" s="41" t="s">
        <v>126</v>
      </c>
      <c r="V11" s="41" t="s">
        <v>126</v>
      </c>
      <c r="W11" s="41" t="s">
        <v>126</v>
      </c>
      <c r="X11" s="41"/>
      <c r="Y11" s="41"/>
      <c r="Z11" s="41" t="s">
        <v>126</v>
      </c>
      <c r="AA11" s="41"/>
      <c r="AB11" s="41"/>
      <c r="AC11" s="41"/>
      <c r="AD11" s="41"/>
      <c r="AE11" s="41"/>
      <c r="AF11" s="41"/>
      <c r="AG11" s="41"/>
      <c r="AH11" s="41"/>
      <c r="AI11" s="41" t="s">
        <v>126</v>
      </c>
      <c r="AJ11" s="41"/>
      <c r="AK11" s="41"/>
      <c r="AL11" s="41"/>
      <c r="AM11" s="41"/>
      <c r="AN11" s="41"/>
      <c r="AO11" s="41"/>
      <c r="AP11" s="41" t="s">
        <v>126</v>
      </c>
      <c r="AQ11" s="41" t="s">
        <v>126</v>
      </c>
      <c r="AR11" s="41" t="s">
        <v>126</v>
      </c>
      <c r="AS11" s="41" t="s">
        <v>126</v>
      </c>
      <c r="AT11" s="41" t="s">
        <v>126</v>
      </c>
      <c r="AU11" s="41" t="s">
        <v>126</v>
      </c>
      <c r="AV11" s="41" t="s">
        <v>126</v>
      </c>
      <c r="AW11" s="41" t="s">
        <v>126</v>
      </c>
      <c r="AX11" s="41" t="s">
        <v>126</v>
      </c>
      <c r="AY11" s="41" t="s">
        <v>126</v>
      </c>
      <c r="AZ11" s="41" t="s">
        <v>126</v>
      </c>
      <c r="BA11" s="41" t="s">
        <v>126</v>
      </c>
      <c r="BB11" s="41" t="s">
        <v>126</v>
      </c>
      <c r="BC11" s="41"/>
      <c r="BD11" s="41" t="s">
        <v>126</v>
      </c>
      <c r="BE11" s="41" t="s">
        <v>126</v>
      </c>
      <c r="BF11" s="41" t="s">
        <v>126</v>
      </c>
      <c r="BG11" s="41" t="s">
        <v>126</v>
      </c>
      <c r="BH11" s="41" t="s">
        <v>126</v>
      </c>
      <c r="BI11" s="41" t="s">
        <v>126</v>
      </c>
      <c r="BJ11" s="41" t="s">
        <v>126</v>
      </c>
      <c r="BK11" s="41" t="s">
        <v>126</v>
      </c>
      <c r="BL11" s="41" t="s">
        <v>126</v>
      </c>
      <c r="BM11" s="41"/>
      <c r="BN11" s="41"/>
      <c r="BO11" s="41"/>
      <c r="BP11" s="41"/>
      <c r="BQ11" s="41"/>
      <c r="BR11" s="41" t="s">
        <v>126</v>
      </c>
      <c r="BS11" s="41" t="s">
        <v>126</v>
      </c>
      <c r="BT11" s="41" t="s">
        <v>126</v>
      </c>
      <c r="BU11" s="41" t="s">
        <v>126</v>
      </c>
      <c r="BV11" s="41" t="s">
        <v>126</v>
      </c>
      <c r="BW11" s="41"/>
      <c r="BX11" s="41" t="s">
        <v>126</v>
      </c>
      <c r="BY11" s="41" t="s">
        <v>126</v>
      </c>
      <c r="BZ11" s="41" t="s">
        <v>126</v>
      </c>
      <c r="CA11" s="41" t="s">
        <v>126</v>
      </c>
      <c r="CB11" s="41" t="s">
        <v>126</v>
      </c>
      <c r="CC11" s="41" t="s">
        <v>126</v>
      </c>
      <c r="CD11" s="41" t="s">
        <v>126</v>
      </c>
      <c r="CE11" s="41" t="s">
        <v>126</v>
      </c>
      <c r="CF11" s="41" t="s">
        <v>126</v>
      </c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 t="s">
        <v>126</v>
      </c>
      <c r="CS11" s="41" t="s">
        <v>126</v>
      </c>
      <c r="CT11" s="41"/>
      <c r="CU11" s="41"/>
      <c r="CV11" s="41"/>
      <c r="CW11" s="52" t="s">
        <v>126</v>
      </c>
      <c r="CX11" s="52" t="s">
        <v>126</v>
      </c>
    </row>
    <row r="12" spans="1:102" x14ac:dyDescent="0.25">
      <c r="A12" s="29" t="s">
        <v>128</v>
      </c>
      <c r="B12" s="41" t="s">
        <v>126</v>
      </c>
      <c r="C12" s="41" t="s">
        <v>126</v>
      </c>
      <c r="D12" s="41" t="s">
        <v>126</v>
      </c>
      <c r="E12" s="41" t="s">
        <v>126</v>
      </c>
      <c r="F12" s="41" t="s">
        <v>126</v>
      </c>
      <c r="G12" s="41" t="s">
        <v>126</v>
      </c>
      <c r="H12" s="41" t="s">
        <v>126</v>
      </c>
      <c r="I12" s="41" t="s">
        <v>126</v>
      </c>
      <c r="J12" s="41"/>
      <c r="K12" s="41" t="s">
        <v>126</v>
      </c>
      <c r="L12" s="41" t="s">
        <v>126</v>
      </c>
      <c r="M12" s="41" t="s">
        <v>126</v>
      </c>
      <c r="N12" s="41" t="s">
        <v>126</v>
      </c>
      <c r="O12" s="41" t="s">
        <v>126</v>
      </c>
      <c r="P12" s="41" t="s">
        <v>126</v>
      </c>
      <c r="Q12" s="41" t="s">
        <v>126</v>
      </c>
      <c r="R12" s="41"/>
      <c r="S12" s="41"/>
      <c r="T12" s="41"/>
      <c r="U12" s="41"/>
      <c r="V12" s="41" t="s">
        <v>126</v>
      </c>
      <c r="W12" s="41" t="s">
        <v>126</v>
      </c>
      <c r="X12" s="41"/>
      <c r="Y12" s="41" t="s">
        <v>126</v>
      </c>
      <c r="Z12" s="41" t="s">
        <v>126</v>
      </c>
      <c r="AA12" s="41" t="s">
        <v>126</v>
      </c>
      <c r="AB12" s="41" t="s">
        <v>126</v>
      </c>
      <c r="AC12" s="41" t="s">
        <v>126</v>
      </c>
      <c r="AD12" s="41" t="s">
        <v>126</v>
      </c>
      <c r="AE12" s="41"/>
      <c r="AF12" s="41" t="s">
        <v>126</v>
      </c>
      <c r="AG12" s="41" t="s">
        <v>126</v>
      </c>
      <c r="AH12" s="41" t="s">
        <v>126</v>
      </c>
      <c r="AI12" s="41" t="s">
        <v>126</v>
      </c>
      <c r="AJ12" s="41" t="s">
        <v>126</v>
      </c>
      <c r="AK12" s="41" t="s">
        <v>126</v>
      </c>
      <c r="AL12" s="41" t="s">
        <v>126</v>
      </c>
      <c r="AM12" s="41" t="s">
        <v>126</v>
      </c>
      <c r="AN12" s="41" t="s">
        <v>126</v>
      </c>
      <c r="AO12" s="41"/>
      <c r="AP12" s="41" t="s">
        <v>126</v>
      </c>
      <c r="AQ12" s="41" t="s">
        <v>126</v>
      </c>
      <c r="AR12" s="41" t="s">
        <v>126</v>
      </c>
      <c r="AS12" s="41" t="s">
        <v>126</v>
      </c>
      <c r="AT12" s="41" t="s">
        <v>126</v>
      </c>
      <c r="AU12" s="41" t="s">
        <v>126</v>
      </c>
      <c r="AV12" s="41" t="s">
        <v>126</v>
      </c>
      <c r="AW12" s="41" t="s">
        <v>126</v>
      </c>
      <c r="AX12" s="41" t="s">
        <v>126</v>
      </c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52" t="s">
        <v>126</v>
      </c>
      <c r="CX12" s="52" t="s">
        <v>126</v>
      </c>
    </row>
    <row r="13" spans="1:102" x14ac:dyDescent="0.25">
      <c r="A13" s="29" t="s">
        <v>129</v>
      </c>
      <c r="B13" s="41" t="s">
        <v>126</v>
      </c>
      <c r="C13" s="41" t="s">
        <v>126</v>
      </c>
      <c r="D13" s="41" t="s">
        <v>126</v>
      </c>
      <c r="E13" s="41" t="s">
        <v>126</v>
      </c>
      <c r="F13" s="41" t="s">
        <v>126</v>
      </c>
      <c r="G13" s="41" t="s">
        <v>126</v>
      </c>
      <c r="H13" s="41" t="s">
        <v>126</v>
      </c>
      <c r="I13" s="41" t="s">
        <v>126</v>
      </c>
      <c r="J13" s="41"/>
      <c r="K13" s="41" t="s">
        <v>126</v>
      </c>
      <c r="L13" s="41" t="s">
        <v>126</v>
      </c>
      <c r="M13" s="41" t="s">
        <v>126</v>
      </c>
      <c r="N13" s="41" t="s">
        <v>126</v>
      </c>
      <c r="O13" s="41" t="s">
        <v>126</v>
      </c>
      <c r="P13" s="41" t="s">
        <v>126</v>
      </c>
      <c r="Q13" s="41" t="s">
        <v>126</v>
      </c>
      <c r="R13" s="41"/>
      <c r="S13" s="41" t="s">
        <v>126</v>
      </c>
      <c r="T13" s="41"/>
      <c r="U13" s="41"/>
      <c r="V13" s="41" t="s">
        <v>126</v>
      </c>
      <c r="W13" s="41" t="s">
        <v>126</v>
      </c>
      <c r="X13" s="41"/>
      <c r="Y13" s="41"/>
      <c r="Z13" s="41" t="s">
        <v>126</v>
      </c>
      <c r="AA13" s="41"/>
      <c r="AB13" s="41"/>
      <c r="AC13" s="41"/>
      <c r="AD13" s="41" t="s">
        <v>126</v>
      </c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 t="s">
        <v>126</v>
      </c>
      <c r="AS13" s="41" t="s">
        <v>126</v>
      </c>
      <c r="AT13" s="41" t="s">
        <v>126</v>
      </c>
      <c r="AU13" s="41" t="s">
        <v>126</v>
      </c>
      <c r="AV13" s="41"/>
      <c r="AW13" s="41"/>
      <c r="AX13" s="41"/>
      <c r="AY13" s="41" t="s">
        <v>126</v>
      </c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 t="s">
        <v>126</v>
      </c>
      <c r="BN13" s="41" t="s">
        <v>126</v>
      </c>
      <c r="BO13" s="41" t="s">
        <v>126</v>
      </c>
      <c r="BP13" s="41" t="s">
        <v>126</v>
      </c>
      <c r="BQ13" s="41" t="s">
        <v>126</v>
      </c>
      <c r="BR13" s="41"/>
      <c r="BS13" s="41"/>
      <c r="BT13" s="41"/>
      <c r="BU13" s="41" t="s">
        <v>126</v>
      </c>
      <c r="BV13" s="41"/>
      <c r="BW13" s="41"/>
      <c r="BX13" s="41" t="s">
        <v>126</v>
      </c>
      <c r="BY13" s="41"/>
      <c r="BZ13" s="41"/>
      <c r="CA13" s="41"/>
      <c r="CB13" s="41"/>
      <c r="CC13" s="41"/>
      <c r="CD13" s="41"/>
      <c r="CE13" s="41" t="s">
        <v>126</v>
      </c>
      <c r="CF13" s="41" t="s">
        <v>126</v>
      </c>
      <c r="CG13" s="41" t="s">
        <v>126</v>
      </c>
      <c r="CH13" s="41" t="s">
        <v>126</v>
      </c>
      <c r="CI13" s="41" t="s">
        <v>126</v>
      </c>
      <c r="CJ13" s="41" t="s">
        <v>126</v>
      </c>
      <c r="CK13" s="41" t="s">
        <v>126</v>
      </c>
      <c r="CL13" s="41" t="s">
        <v>126</v>
      </c>
      <c r="CM13" s="41" t="s">
        <v>126</v>
      </c>
      <c r="CN13" s="41" t="s">
        <v>126</v>
      </c>
      <c r="CO13" s="41"/>
      <c r="CP13" s="41"/>
      <c r="CQ13" s="41"/>
      <c r="CR13" s="41"/>
      <c r="CS13" s="41"/>
      <c r="CT13" s="41"/>
      <c r="CU13" s="41"/>
      <c r="CV13" s="41"/>
      <c r="CW13" s="52" t="s">
        <v>126</v>
      </c>
      <c r="CX13" s="52" t="s">
        <v>126</v>
      </c>
    </row>
    <row r="14" spans="1:102" x14ac:dyDescent="0.25">
      <c r="A14" s="29" t="s">
        <v>130</v>
      </c>
      <c r="B14" s="41" t="s">
        <v>126</v>
      </c>
      <c r="C14" s="41" t="s">
        <v>126</v>
      </c>
      <c r="D14" s="41" t="s">
        <v>126</v>
      </c>
      <c r="E14" s="41" t="s">
        <v>126</v>
      </c>
      <c r="F14" s="41" t="s">
        <v>126</v>
      </c>
      <c r="G14" s="41" t="s">
        <v>126</v>
      </c>
      <c r="H14" s="41" t="s">
        <v>126</v>
      </c>
      <c r="I14" s="41" t="s">
        <v>126</v>
      </c>
      <c r="J14" s="41"/>
      <c r="K14" s="41" t="s">
        <v>126</v>
      </c>
      <c r="L14" s="41" t="s">
        <v>126</v>
      </c>
      <c r="M14" s="41" t="s">
        <v>126</v>
      </c>
      <c r="N14" s="41" t="s">
        <v>126</v>
      </c>
      <c r="O14" s="41" t="s">
        <v>126</v>
      </c>
      <c r="P14" s="41" t="s">
        <v>126</v>
      </c>
      <c r="Q14" s="41" t="s">
        <v>126</v>
      </c>
      <c r="R14" s="41"/>
      <c r="S14" s="41"/>
      <c r="T14" s="41"/>
      <c r="U14" s="41"/>
      <c r="V14" s="41" t="s">
        <v>126</v>
      </c>
      <c r="W14" s="41" t="s">
        <v>126</v>
      </c>
      <c r="X14" s="41"/>
      <c r="Y14" s="41" t="s">
        <v>126</v>
      </c>
      <c r="Z14" s="41" t="s">
        <v>126</v>
      </c>
      <c r="AA14" s="41" t="s">
        <v>126</v>
      </c>
      <c r="AB14" s="41" t="s">
        <v>126</v>
      </c>
      <c r="AC14" s="41" t="s">
        <v>126</v>
      </c>
      <c r="AD14" s="41" t="s">
        <v>126</v>
      </c>
      <c r="AE14" s="41"/>
      <c r="AF14" s="41" t="s">
        <v>126</v>
      </c>
      <c r="AG14" s="41" t="s">
        <v>126</v>
      </c>
      <c r="AH14" s="41" t="s">
        <v>126</v>
      </c>
      <c r="AI14" s="41" t="s">
        <v>126</v>
      </c>
      <c r="AJ14" s="41" t="s">
        <v>126</v>
      </c>
      <c r="AK14" s="41" t="s">
        <v>126</v>
      </c>
      <c r="AL14" s="41" t="s">
        <v>126</v>
      </c>
      <c r="AM14" s="41" t="s">
        <v>126</v>
      </c>
      <c r="AN14" s="41" t="s">
        <v>126</v>
      </c>
      <c r="AO14" s="41" t="s">
        <v>126</v>
      </c>
      <c r="AP14" s="41" t="s">
        <v>126</v>
      </c>
      <c r="AQ14" s="41" t="s">
        <v>126</v>
      </c>
      <c r="AR14" s="41" t="s">
        <v>126</v>
      </c>
      <c r="AS14" s="41" t="s">
        <v>126</v>
      </c>
      <c r="AT14" s="41" t="s">
        <v>126</v>
      </c>
      <c r="AU14" s="41" t="s">
        <v>126</v>
      </c>
      <c r="AV14" s="41" t="s">
        <v>126</v>
      </c>
      <c r="AW14" s="41" t="s">
        <v>126</v>
      </c>
      <c r="AX14" s="41" t="s">
        <v>126</v>
      </c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 t="s">
        <v>126</v>
      </c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52" t="s">
        <v>126</v>
      </c>
      <c r="CX14" s="52" t="s">
        <v>126</v>
      </c>
    </row>
    <row r="15" spans="1:102" x14ac:dyDescent="0.25">
      <c r="A15" s="29" t="s">
        <v>131</v>
      </c>
      <c r="B15" s="41" t="s">
        <v>126</v>
      </c>
      <c r="C15" s="41" t="s">
        <v>126</v>
      </c>
      <c r="D15" s="41" t="s">
        <v>126</v>
      </c>
      <c r="E15" s="41" t="s">
        <v>126</v>
      </c>
      <c r="F15" s="41" t="s">
        <v>126</v>
      </c>
      <c r="G15" s="41" t="s">
        <v>126</v>
      </c>
      <c r="H15" s="41" t="s">
        <v>126</v>
      </c>
      <c r="I15" s="41" t="s">
        <v>126</v>
      </c>
      <c r="J15" s="41" t="s">
        <v>126</v>
      </c>
      <c r="K15" s="41" t="s">
        <v>126</v>
      </c>
      <c r="L15" s="41" t="s">
        <v>126</v>
      </c>
      <c r="M15" s="41" t="s">
        <v>126</v>
      </c>
      <c r="N15" s="41" t="s">
        <v>126</v>
      </c>
      <c r="O15" s="41" t="s">
        <v>126</v>
      </c>
      <c r="P15" s="41" t="s">
        <v>126</v>
      </c>
      <c r="Q15" s="41" t="s">
        <v>126</v>
      </c>
      <c r="R15" s="41"/>
      <c r="S15" s="41"/>
      <c r="T15" s="41"/>
      <c r="U15" s="41"/>
      <c r="V15" s="41" t="s">
        <v>126</v>
      </c>
      <c r="W15" s="41" t="s">
        <v>126</v>
      </c>
      <c r="X15" s="41"/>
      <c r="Y15" s="41"/>
      <c r="Z15" s="41" t="s">
        <v>126</v>
      </c>
      <c r="AA15" s="41" t="s">
        <v>126</v>
      </c>
      <c r="AB15" s="41" t="s">
        <v>126</v>
      </c>
      <c r="AC15" s="41" t="s">
        <v>126</v>
      </c>
      <c r="AD15" s="41" t="s">
        <v>126</v>
      </c>
      <c r="AE15" s="41"/>
      <c r="AF15" s="41" t="s">
        <v>126</v>
      </c>
      <c r="AG15" s="41" t="s">
        <v>126</v>
      </c>
      <c r="AH15" s="41" t="s">
        <v>126</v>
      </c>
      <c r="AI15" s="41" t="s">
        <v>126</v>
      </c>
      <c r="AJ15" s="41"/>
      <c r="AK15" s="41" t="s">
        <v>126</v>
      </c>
      <c r="AL15" s="41"/>
      <c r="AM15" s="41"/>
      <c r="AN15" s="41"/>
      <c r="AO15" s="41"/>
      <c r="AP15" s="41" t="s">
        <v>126</v>
      </c>
      <c r="AQ15" s="41" t="s">
        <v>126</v>
      </c>
      <c r="AR15" s="41" t="s">
        <v>126</v>
      </c>
      <c r="AS15" s="41" t="s">
        <v>126</v>
      </c>
      <c r="AT15" s="41" t="s">
        <v>126</v>
      </c>
      <c r="AU15" s="41" t="s">
        <v>126</v>
      </c>
      <c r="AV15" s="41"/>
      <c r="AW15" s="41" t="s">
        <v>126</v>
      </c>
      <c r="AX15" s="41" t="s">
        <v>126</v>
      </c>
      <c r="AY15" s="41"/>
      <c r="AZ15" s="41" t="s">
        <v>126</v>
      </c>
      <c r="BA15" s="41"/>
      <c r="BB15" s="41"/>
      <c r="BC15" s="41"/>
      <c r="BD15" s="41" t="s">
        <v>126</v>
      </c>
      <c r="BE15" s="41"/>
      <c r="BF15" s="41" t="s">
        <v>126</v>
      </c>
      <c r="BG15" s="41"/>
      <c r="BH15" s="41" t="s">
        <v>126</v>
      </c>
      <c r="BI15" s="41" t="s">
        <v>126</v>
      </c>
      <c r="BJ15" s="41" t="s">
        <v>126</v>
      </c>
      <c r="BK15" s="41" t="s">
        <v>126</v>
      </c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 t="s">
        <v>126</v>
      </c>
      <c r="CQ15" s="41" t="s">
        <v>126</v>
      </c>
      <c r="CR15" s="41" t="s">
        <v>126</v>
      </c>
      <c r="CS15" s="41" t="s">
        <v>126</v>
      </c>
      <c r="CT15" s="41" t="s">
        <v>126</v>
      </c>
      <c r="CU15" s="41"/>
      <c r="CV15" s="41"/>
      <c r="CW15" s="52" t="s">
        <v>126</v>
      </c>
      <c r="CX15" s="52" t="s">
        <v>126</v>
      </c>
    </row>
    <row r="16" spans="1:102" x14ac:dyDescent="0.25">
      <c r="A16" s="29" t="s">
        <v>132</v>
      </c>
      <c r="B16" s="41" t="s">
        <v>126</v>
      </c>
      <c r="C16" s="41" t="s">
        <v>126</v>
      </c>
      <c r="D16" s="41" t="s">
        <v>126</v>
      </c>
      <c r="E16" s="41" t="s">
        <v>126</v>
      </c>
      <c r="F16" s="41" t="s">
        <v>126</v>
      </c>
      <c r="G16" s="41" t="s">
        <v>126</v>
      </c>
      <c r="H16" s="41" t="s">
        <v>126</v>
      </c>
      <c r="I16" s="41" t="s">
        <v>126</v>
      </c>
      <c r="J16" s="41"/>
      <c r="K16" s="41" t="s">
        <v>126</v>
      </c>
      <c r="L16" s="41" t="s">
        <v>126</v>
      </c>
      <c r="M16" s="41" t="s">
        <v>126</v>
      </c>
      <c r="N16" s="41" t="s">
        <v>126</v>
      </c>
      <c r="O16" s="41" t="s">
        <v>126</v>
      </c>
      <c r="P16" s="41" t="s">
        <v>126</v>
      </c>
      <c r="Q16" s="41" t="s">
        <v>126</v>
      </c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52" t="s">
        <v>126</v>
      </c>
      <c r="CX16" s="52" t="s">
        <v>126</v>
      </c>
    </row>
    <row r="17" spans="1:102" x14ac:dyDescent="0.25">
      <c r="A17" s="29" t="s">
        <v>133</v>
      </c>
      <c r="B17" s="41" t="s">
        <v>126</v>
      </c>
      <c r="C17" s="41"/>
      <c r="D17" s="41" t="s">
        <v>126</v>
      </c>
      <c r="E17" s="41" t="s">
        <v>126</v>
      </c>
      <c r="F17" s="41" t="s">
        <v>126</v>
      </c>
      <c r="G17" s="41" t="s">
        <v>126</v>
      </c>
      <c r="H17" s="41" t="s">
        <v>126</v>
      </c>
      <c r="I17" s="41" t="s">
        <v>126</v>
      </c>
      <c r="J17" s="41" t="s">
        <v>126</v>
      </c>
      <c r="K17" s="41" t="s">
        <v>126</v>
      </c>
      <c r="L17" s="41" t="s">
        <v>126</v>
      </c>
      <c r="M17" s="41" t="s">
        <v>126</v>
      </c>
      <c r="N17" s="41" t="s">
        <v>126</v>
      </c>
      <c r="O17" s="41" t="s">
        <v>126</v>
      </c>
      <c r="P17" s="41" t="s">
        <v>126</v>
      </c>
      <c r="Q17" s="41" t="s">
        <v>126</v>
      </c>
      <c r="R17" s="41" t="s">
        <v>126</v>
      </c>
      <c r="S17" s="41"/>
      <c r="T17" s="41" t="s">
        <v>126</v>
      </c>
      <c r="U17" s="41" t="s">
        <v>126</v>
      </c>
      <c r="V17" s="41" t="s">
        <v>126</v>
      </c>
      <c r="W17" s="41" t="s">
        <v>126</v>
      </c>
      <c r="X17" s="41"/>
      <c r="Y17" s="41"/>
      <c r="Z17" s="41" t="s">
        <v>126</v>
      </c>
      <c r="AA17" s="41" t="s">
        <v>126</v>
      </c>
      <c r="AB17" s="41" t="s">
        <v>126</v>
      </c>
      <c r="AC17" s="41"/>
      <c r="AD17" s="41"/>
      <c r="AE17" s="41"/>
      <c r="AF17" s="41" t="s">
        <v>126</v>
      </c>
      <c r="AG17" s="41" t="s">
        <v>126</v>
      </c>
      <c r="AH17" s="41" t="s">
        <v>126</v>
      </c>
      <c r="AI17" s="41" t="s">
        <v>126</v>
      </c>
      <c r="AJ17" s="41"/>
      <c r="AK17" s="41"/>
      <c r="AL17" s="41" t="s">
        <v>126</v>
      </c>
      <c r="AM17" s="41" t="s">
        <v>126</v>
      </c>
      <c r="AN17" s="41" t="s">
        <v>126</v>
      </c>
      <c r="AO17" s="41" t="s">
        <v>126</v>
      </c>
      <c r="AP17" s="41" t="s">
        <v>126</v>
      </c>
      <c r="AQ17" s="41" t="s">
        <v>126</v>
      </c>
      <c r="AR17" s="41" t="s">
        <v>126</v>
      </c>
      <c r="AS17" s="41" t="s">
        <v>126</v>
      </c>
      <c r="AT17" s="41" t="s">
        <v>126</v>
      </c>
      <c r="AU17" s="41" t="s">
        <v>126</v>
      </c>
      <c r="AV17" s="41" t="s">
        <v>126</v>
      </c>
      <c r="AW17" s="41" t="s">
        <v>126</v>
      </c>
      <c r="AX17" s="41" t="s">
        <v>126</v>
      </c>
      <c r="AY17" s="41"/>
      <c r="AZ17" s="41"/>
      <c r="BA17" s="41"/>
      <c r="BB17" s="41"/>
      <c r="BC17" s="41"/>
      <c r="BD17" s="41"/>
      <c r="BE17" s="41" t="s">
        <v>126</v>
      </c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 t="s">
        <v>126</v>
      </c>
      <c r="BS17" s="41" t="s">
        <v>126</v>
      </c>
      <c r="BT17" s="41" t="s">
        <v>126</v>
      </c>
      <c r="BU17" s="41" t="s">
        <v>126</v>
      </c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 t="s">
        <v>126</v>
      </c>
      <c r="CS17" s="41" t="s">
        <v>126</v>
      </c>
      <c r="CT17" s="41" t="s">
        <v>126</v>
      </c>
      <c r="CU17" s="41"/>
      <c r="CV17" s="41"/>
      <c r="CW17" s="52" t="s">
        <v>126</v>
      </c>
      <c r="CX17" s="52" t="s">
        <v>126</v>
      </c>
    </row>
    <row r="18" spans="1:102" x14ac:dyDescent="0.25">
      <c r="A18" s="29" t="s">
        <v>134</v>
      </c>
      <c r="B18" s="41" t="s">
        <v>126</v>
      </c>
      <c r="C18" s="41" t="s">
        <v>126</v>
      </c>
      <c r="D18" s="41" t="s">
        <v>126</v>
      </c>
      <c r="E18" s="41" t="s">
        <v>126</v>
      </c>
      <c r="F18" s="41" t="s">
        <v>126</v>
      </c>
      <c r="G18" s="41" t="s">
        <v>126</v>
      </c>
      <c r="H18" s="41" t="s">
        <v>126</v>
      </c>
      <c r="I18" s="41" t="s">
        <v>126</v>
      </c>
      <c r="J18" s="41"/>
      <c r="K18" s="41" t="s">
        <v>126</v>
      </c>
      <c r="L18" s="41" t="s">
        <v>126</v>
      </c>
      <c r="M18" s="41" t="s">
        <v>126</v>
      </c>
      <c r="N18" s="41" t="s">
        <v>126</v>
      </c>
      <c r="O18" s="41" t="s">
        <v>126</v>
      </c>
      <c r="P18" s="41" t="s">
        <v>126</v>
      </c>
      <c r="Q18" s="41" t="s">
        <v>126</v>
      </c>
      <c r="R18" s="41"/>
      <c r="S18" s="41" t="s">
        <v>126</v>
      </c>
      <c r="T18" s="41"/>
      <c r="U18" s="41"/>
      <c r="V18" s="41" t="s">
        <v>126</v>
      </c>
      <c r="W18" s="41" t="s">
        <v>126</v>
      </c>
      <c r="X18" s="41" t="s">
        <v>126</v>
      </c>
      <c r="Y18" s="41"/>
      <c r="Z18" s="41" t="s">
        <v>126</v>
      </c>
      <c r="AA18" s="41" t="s">
        <v>126</v>
      </c>
      <c r="AB18" s="41" t="s">
        <v>126</v>
      </c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 t="s">
        <v>126</v>
      </c>
      <c r="AU18" s="41"/>
      <c r="AV18" s="41"/>
      <c r="AW18" s="41"/>
      <c r="AX18" s="41"/>
      <c r="AY18" s="41"/>
      <c r="AZ18" s="41" t="s">
        <v>126</v>
      </c>
      <c r="BA18" s="41" t="s">
        <v>126</v>
      </c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 t="s">
        <v>126</v>
      </c>
      <c r="CU18" s="41"/>
      <c r="CV18" s="41"/>
      <c r="CW18" s="52" t="s">
        <v>126</v>
      </c>
      <c r="CX18" s="52" t="s">
        <v>126</v>
      </c>
    </row>
    <row r="19" spans="1:102" x14ac:dyDescent="0.25">
      <c r="A19" s="29" t="s">
        <v>135</v>
      </c>
      <c r="B19" s="41" t="s">
        <v>126</v>
      </c>
      <c r="C19" s="41" t="s">
        <v>126</v>
      </c>
      <c r="D19" s="41" t="s">
        <v>126</v>
      </c>
      <c r="E19" s="41" t="s">
        <v>126</v>
      </c>
      <c r="F19" s="41" t="s">
        <v>126</v>
      </c>
      <c r="G19" s="41" t="s">
        <v>126</v>
      </c>
      <c r="H19" s="41" t="s">
        <v>126</v>
      </c>
      <c r="I19" s="41" t="s">
        <v>126</v>
      </c>
      <c r="J19" s="41"/>
      <c r="K19" s="41" t="s">
        <v>126</v>
      </c>
      <c r="L19" s="41" t="s">
        <v>126</v>
      </c>
      <c r="M19" s="41" t="s">
        <v>126</v>
      </c>
      <c r="N19" s="41" t="s">
        <v>126</v>
      </c>
      <c r="O19" s="41" t="s">
        <v>126</v>
      </c>
      <c r="P19" s="41" t="s">
        <v>126</v>
      </c>
      <c r="Q19" s="41" t="s">
        <v>126</v>
      </c>
      <c r="R19" s="41"/>
      <c r="S19" s="41"/>
      <c r="T19" s="41"/>
      <c r="U19" s="41"/>
      <c r="V19" s="41" t="s">
        <v>126</v>
      </c>
      <c r="W19" s="41"/>
      <c r="X19" s="41"/>
      <c r="Y19" s="41"/>
      <c r="Z19" s="41" t="s">
        <v>126</v>
      </c>
      <c r="AA19" s="41" t="s">
        <v>126</v>
      </c>
      <c r="AB19" s="41" t="s">
        <v>126</v>
      </c>
      <c r="AC19" s="41"/>
      <c r="AD19" s="41" t="s">
        <v>126</v>
      </c>
      <c r="AE19" s="41" t="s">
        <v>126</v>
      </c>
      <c r="AF19" s="41" t="s">
        <v>126</v>
      </c>
      <c r="AG19" s="41" t="s">
        <v>126</v>
      </c>
      <c r="AH19" s="41" t="s">
        <v>126</v>
      </c>
      <c r="AI19" s="41" t="s">
        <v>126</v>
      </c>
      <c r="AJ19" s="41"/>
      <c r="AK19" s="41" t="s">
        <v>126</v>
      </c>
      <c r="AL19" s="41" t="s">
        <v>126</v>
      </c>
      <c r="AM19" s="41"/>
      <c r="AN19" s="41"/>
      <c r="AO19" s="41" t="s">
        <v>126</v>
      </c>
      <c r="AP19" s="41" t="s">
        <v>126</v>
      </c>
      <c r="AQ19" s="41" t="s">
        <v>126</v>
      </c>
      <c r="AR19" s="41" t="s">
        <v>126</v>
      </c>
      <c r="AS19" s="41" t="s">
        <v>126</v>
      </c>
      <c r="AT19" s="41" t="s">
        <v>126</v>
      </c>
      <c r="AU19" s="41" t="s">
        <v>126</v>
      </c>
      <c r="AV19" s="41" t="s">
        <v>126</v>
      </c>
      <c r="AW19" s="41"/>
      <c r="AX19" s="41"/>
      <c r="AY19" s="41"/>
      <c r="AZ19" s="41" t="s">
        <v>126</v>
      </c>
      <c r="BA19" s="41" t="s">
        <v>126</v>
      </c>
      <c r="BB19" s="41" t="s">
        <v>126</v>
      </c>
      <c r="BC19" s="41"/>
      <c r="BD19" s="41" t="s">
        <v>126</v>
      </c>
      <c r="BE19" s="41"/>
      <c r="BF19" s="41" t="s">
        <v>126</v>
      </c>
      <c r="BG19" s="41"/>
      <c r="BH19" s="41" t="s">
        <v>126</v>
      </c>
      <c r="BI19" s="41" t="s">
        <v>126</v>
      </c>
      <c r="BJ19" s="41" t="s">
        <v>126</v>
      </c>
      <c r="BK19" s="41"/>
      <c r="BL19" s="41"/>
      <c r="BM19" s="41" t="s">
        <v>126</v>
      </c>
      <c r="BN19" s="41" t="s">
        <v>126</v>
      </c>
      <c r="BO19" s="41" t="s">
        <v>126</v>
      </c>
      <c r="BP19" s="41" t="s">
        <v>126</v>
      </c>
      <c r="BQ19" s="41" t="s">
        <v>126</v>
      </c>
      <c r="BR19" s="41" t="s">
        <v>126</v>
      </c>
      <c r="BS19" s="41"/>
      <c r="BT19" s="41"/>
      <c r="BU19" s="41" t="s">
        <v>126</v>
      </c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 t="s">
        <v>126</v>
      </c>
      <c r="CP19" s="41"/>
      <c r="CQ19" s="41"/>
      <c r="CR19" s="41"/>
      <c r="CS19" s="41"/>
      <c r="CT19" s="41" t="s">
        <v>126</v>
      </c>
      <c r="CU19" s="41"/>
      <c r="CV19" s="41" t="s">
        <v>126</v>
      </c>
      <c r="CW19" s="52" t="s">
        <v>126</v>
      </c>
      <c r="CX19" s="52" t="s">
        <v>126</v>
      </c>
    </row>
    <row r="20" spans="1:102" x14ac:dyDescent="0.25">
      <c r="A20" s="29" t="s">
        <v>136</v>
      </c>
      <c r="B20" s="41" t="s">
        <v>126</v>
      </c>
      <c r="C20" s="41" t="s">
        <v>126</v>
      </c>
      <c r="D20" s="41" t="s">
        <v>126</v>
      </c>
      <c r="E20" s="41" t="s">
        <v>126</v>
      </c>
      <c r="F20" s="41" t="s">
        <v>126</v>
      </c>
      <c r="G20" s="41" t="s">
        <v>126</v>
      </c>
      <c r="H20" s="41" t="s">
        <v>126</v>
      </c>
      <c r="I20" s="41" t="s">
        <v>126</v>
      </c>
      <c r="J20" s="41"/>
      <c r="K20" s="41" t="s">
        <v>126</v>
      </c>
      <c r="L20" s="41" t="s">
        <v>126</v>
      </c>
      <c r="M20" s="41" t="s">
        <v>126</v>
      </c>
      <c r="N20" s="41" t="s">
        <v>126</v>
      </c>
      <c r="O20" s="41" t="s">
        <v>126</v>
      </c>
      <c r="P20" s="41" t="s">
        <v>126</v>
      </c>
      <c r="Q20" s="41" t="s">
        <v>126</v>
      </c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 t="s">
        <v>126</v>
      </c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 t="s">
        <v>126</v>
      </c>
      <c r="BV20" s="41" t="s">
        <v>126</v>
      </c>
      <c r="BW20" s="41" t="s">
        <v>126</v>
      </c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52" t="s">
        <v>126</v>
      </c>
      <c r="CX20" s="52" t="s">
        <v>126</v>
      </c>
    </row>
    <row r="21" spans="1:102" x14ac:dyDescent="0.25">
      <c r="A21" s="29" t="s">
        <v>137</v>
      </c>
      <c r="B21" s="41" t="s">
        <v>126</v>
      </c>
      <c r="C21" s="41" t="s">
        <v>126</v>
      </c>
      <c r="D21" s="41" t="s">
        <v>126</v>
      </c>
      <c r="E21" s="41" t="s">
        <v>126</v>
      </c>
      <c r="F21" s="41" t="s">
        <v>126</v>
      </c>
      <c r="G21" s="41" t="s">
        <v>126</v>
      </c>
      <c r="H21" s="41" t="s">
        <v>126</v>
      </c>
      <c r="I21" s="41" t="s">
        <v>126</v>
      </c>
      <c r="J21" s="41" t="s">
        <v>126</v>
      </c>
      <c r="K21" s="41" t="s">
        <v>126</v>
      </c>
      <c r="L21" s="41" t="s">
        <v>126</v>
      </c>
      <c r="M21" s="41" t="s">
        <v>126</v>
      </c>
      <c r="N21" s="41" t="s">
        <v>126</v>
      </c>
      <c r="O21" s="41" t="s">
        <v>126</v>
      </c>
      <c r="P21" s="41" t="s">
        <v>126</v>
      </c>
      <c r="Q21" s="41" t="s">
        <v>126</v>
      </c>
      <c r="R21" s="41" t="s">
        <v>126</v>
      </c>
      <c r="S21" s="41"/>
      <c r="T21" s="41" t="s">
        <v>126</v>
      </c>
      <c r="U21" s="41" t="s">
        <v>126</v>
      </c>
      <c r="V21" s="41" t="s">
        <v>126</v>
      </c>
      <c r="W21" s="41" t="s">
        <v>126</v>
      </c>
      <c r="X21" s="41" t="s">
        <v>126</v>
      </c>
      <c r="Y21" s="41" t="s">
        <v>126</v>
      </c>
      <c r="Z21" s="41" t="s">
        <v>126</v>
      </c>
      <c r="AA21" s="41" t="s">
        <v>126</v>
      </c>
      <c r="AB21" s="41" t="s">
        <v>126</v>
      </c>
      <c r="AC21" s="41" t="s">
        <v>126</v>
      </c>
      <c r="AD21" s="41" t="s">
        <v>126</v>
      </c>
      <c r="AE21" s="41" t="s">
        <v>126</v>
      </c>
      <c r="AF21" s="41" t="s">
        <v>126</v>
      </c>
      <c r="AG21" s="41" t="s">
        <v>126</v>
      </c>
      <c r="AH21" s="41" t="s">
        <v>126</v>
      </c>
      <c r="AI21" s="41" t="s">
        <v>126</v>
      </c>
      <c r="AJ21" s="41" t="s">
        <v>126</v>
      </c>
      <c r="AK21" s="41" t="s">
        <v>126</v>
      </c>
      <c r="AL21" s="41" t="s">
        <v>126</v>
      </c>
      <c r="AM21" s="41" t="s">
        <v>126</v>
      </c>
      <c r="AN21" s="41" t="s">
        <v>126</v>
      </c>
      <c r="AO21" s="41" t="s">
        <v>126</v>
      </c>
      <c r="AP21" s="41" t="s">
        <v>126</v>
      </c>
      <c r="AQ21" s="41" t="s">
        <v>126</v>
      </c>
      <c r="AR21" s="41" t="s">
        <v>126</v>
      </c>
      <c r="AS21" s="41" t="s">
        <v>126</v>
      </c>
      <c r="AT21" s="41" t="s">
        <v>126</v>
      </c>
      <c r="AU21" s="41" t="s">
        <v>126</v>
      </c>
      <c r="AV21" s="41"/>
      <c r="AW21" s="41"/>
      <c r="AX21" s="41"/>
      <c r="AY21" s="41"/>
      <c r="AZ21" s="41"/>
      <c r="BA21" s="41" t="s">
        <v>126</v>
      </c>
      <c r="BB21" s="41" t="s">
        <v>126</v>
      </c>
      <c r="BC21" s="41"/>
      <c r="BD21" s="41" t="s">
        <v>126</v>
      </c>
      <c r="BE21" s="41"/>
      <c r="BF21" s="41" t="s">
        <v>126</v>
      </c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 t="s">
        <v>126</v>
      </c>
      <c r="CA21" s="41"/>
      <c r="CB21" s="41"/>
      <c r="CC21" s="41"/>
      <c r="CD21" s="41"/>
      <c r="CE21" s="41"/>
      <c r="CF21" s="41"/>
      <c r="CG21" s="41" t="s">
        <v>126</v>
      </c>
      <c r="CH21" s="41" t="s">
        <v>126</v>
      </c>
      <c r="CI21" s="41" t="s">
        <v>126</v>
      </c>
      <c r="CJ21" s="41" t="s">
        <v>126</v>
      </c>
      <c r="CK21" s="41" t="s">
        <v>126</v>
      </c>
      <c r="CL21" s="41" t="s">
        <v>126</v>
      </c>
      <c r="CM21" s="41" t="s">
        <v>126</v>
      </c>
      <c r="CN21" s="41" t="s">
        <v>126</v>
      </c>
      <c r="CO21" s="41" t="s">
        <v>126</v>
      </c>
      <c r="CP21" s="41"/>
      <c r="CQ21" s="41"/>
      <c r="CR21" s="41"/>
      <c r="CS21" s="41" t="s">
        <v>126</v>
      </c>
      <c r="CT21" s="41" t="s">
        <v>126</v>
      </c>
      <c r="CU21" s="41" t="s">
        <v>126</v>
      </c>
      <c r="CV21" s="41"/>
      <c r="CW21" s="52" t="s">
        <v>126</v>
      </c>
      <c r="CX21" s="52" t="s">
        <v>126</v>
      </c>
    </row>
    <row r="22" spans="1:102" x14ac:dyDescent="0.25">
      <c r="A22" s="29" t="s">
        <v>138</v>
      </c>
      <c r="B22" s="41" t="s">
        <v>126</v>
      </c>
      <c r="C22" s="41" t="s">
        <v>126</v>
      </c>
      <c r="D22" s="41" t="s">
        <v>126</v>
      </c>
      <c r="E22" s="41" t="s">
        <v>126</v>
      </c>
      <c r="F22" s="41" t="s">
        <v>126</v>
      </c>
      <c r="G22" s="41" t="s">
        <v>126</v>
      </c>
      <c r="H22" s="41" t="s">
        <v>126</v>
      </c>
      <c r="I22" s="41" t="s">
        <v>126</v>
      </c>
      <c r="J22" s="41" t="s">
        <v>126</v>
      </c>
      <c r="K22" s="41" t="s">
        <v>126</v>
      </c>
      <c r="L22" s="41" t="s">
        <v>126</v>
      </c>
      <c r="M22" s="41" t="s">
        <v>126</v>
      </c>
      <c r="N22" s="41" t="s">
        <v>126</v>
      </c>
      <c r="O22" s="41" t="s">
        <v>126</v>
      </c>
      <c r="P22" s="41" t="s">
        <v>126</v>
      </c>
      <c r="Q22" s="41" t="s">
        <v>126</v>
      </c>
      <c r="R22" s="41" t="s">
        <v>126</v>
      </c>
      <c r="S22" s="41"/>
      <c r="T22" s="41"/>
      <c r="U22" s="41"/>
      <c r="V22" s="41" t="s">
        <v>126</v>
      </c>
      <c r="W22" s="41" t="s">
        <v>126</v>
      </c>
      <c r="X22" s="41" t="s">
        <v>126</v>
      </c>
      <c r="Y22" s="41" t="s">
        <v>126</v>
      </c>
      <c r="Z22" s="41" t="s">
        <v>126</v>
      </c>
      <c r="AA22" s="41" t="s">
        <v>126</v>
      </c>
      <c r="AB22" s="41" t="s">
        <v>126</v>
      </c>
      <c r="AC22" s="41"/>
      <c r="AD22" s="41" t="s">
        <v>126</v>
      </c>
      <c r="AE22" s="41"/>
      <c r="AF22" s="41" t="s">
        <v>126</v>
      </c>
      <c r="AG22" s="41"/>
      <c r="AH22" s="41"/>
      <c r="AI22" s="41"/>
      <c r="AJ22" s="41"/>
      <c r="AK22" s="41" t="s">
        <v>126</v>
      </c>
      <c r="AL22" s="41" t="s">
        <v>126</v>
      </c>
      <c r="AM22" s="41" t="s">
        <v>126</v>
      </c>
      <c r="AN22" s="41" t="s">
        <v>126</v>
      </c>
      <c r="AO22" s="41" t="s">
        <v>126</v>
      </c>
      <c r="AP22" s="41" t="s">
        <v>126</v>
      </c>
      <c r="AQ22" s="41" t="s">
        <v>126</v>
      </c>
      <c r="AR22" s="41" t="s">
        <v>126</v>
      </c>
      <c r="AS22" s="41"/>
      <c r="AT22" s="41" t="s">
        <v>126</v>
      </c>
      <c r="AU22" s="41"/>
      <c r="AV22" s="41"/>
      <c r="AW22" s="41"/>
      <c r="AX22" s="41"/>
      <c r="AY22" s="41"/>
      <c r="AZ22" s="41"/>
      <c r="BA22" s="41"/>
      <c r="BB22" s="41" t="s">
        <v>126</v>
      </c>
      <c r="BC22" s="41"/>
      <c r="BD22" s="41" t="s">
        <v>126</v>
      </c>
      <c r="BE22" s="41" t="s">
        <v>126</v>
      </c>
      <c r="BF22" s="41" t="s">
        <v>126</v>
      </c>
      <c r="BG22" s="41"/>
      <c r="BH22" s="41" t="s">
        <v>126</v>
      </c>
      <c r="BI22" s="41" t="s">
        <v>126</v>
      </c>
      <c r="BJ22" s="41" t="s">
        <v>126</v>
      </c>
      <c r="BK22" s="41"/>
      <c r="BL22" s="41" t="s">
        <v>126</v>
      </c>
      <c r="BM22" s="41"/>
      <c r="BN22" s="41"/>
      <c r="BO22" s="41"/>
      <c r="BP22" s="41"/>
      <c r="BQ22" s="41"/>
      <c r="BR22" s="41" t="s">
        <v>126</v>
      </c>
      <c r="BS22" s="41" t="s">
        <v>126</v>
      </c>
      <c r="BT22" s="41" t="s">
        <v>126</v>
      </c>
      <c r="BU22" s="41" t="s">
        <v>126</v>
      </c>
      <c r="BV22" s="41" t="s">
        <v>126</v>
      </c>
      <c r="BW22" s="41"/>
      <c r="BX22" s="41" t="s">
        <v>126</v>
      </c>
      <c r="BY22" s="41"/>
      <c r="BZ22" s="41" t="s">
        <v>126</v>
      </c>
      <c r="CA22" s="41" t="s">
        <v>126</v>
      </c>
      <c r="CB22" s="41" t="s">
        <v>126</v>
      </c>
      <c r="CC22" s="41" t="s">
        <v>126</v>
      </c>
      <c r="CD22" s="41"/>
      <c r="CE22" s="41" t="s">
        <v>126</v>
      </c>
      <c r="CF22" s="41" t="s">
        <v>126</v>
      </c>
      <c r="CG22" s="41"/>
      <c r="CH22" s="41"/>
      <c r="CI22" s="41"/>
      <c r="CJ22" s="41"/>
      <c r="CK22" s="41"/>
      <c r="CL22" s="41"/>
      <c r="CM22" s="41"/>
      <c r="CN22" s="41"/>
      <c r="CO22" s="41" t="s">
        <v>126</v>
      </c>
      <c r="CP22" s="41" t="s">
        <v>126</v>
      </c>
      <c r="CQ22" s="41"/>
      <c r="CR22" s="41" t="s">
        <v>126</v>
      </c>
      <c r="CS22" s="41" t="s">
        <v>126</v>
      </c>
      <c r="CT22" s="41" t="s">
        <v>126</v>
      </c>
      <c r="CU22" s="41" t="s">
        <v>126</v>
      </c>
      <c r="CV22" s="41"/>
      <c r="CW22" s="52" t="s">
        <v>126</v>
      </c>
      <c r="CX22" s="52" t="s">
        <v>126</v>
      </c>
    </row>
    <row r="23" spans="1:102" x14ac:dyDescent="0.25">
      <c r="A23" s="29" t="s">
        <v>13</v>
      </c>
      <c r="B23" s="41" t="s">
        <v>126</v>
      </c>
      <c r="C23" s="41"/>
      <c r="D23" s="41" t="s">
        <v>126</v>
      </c>
      <c r="E23" s="41"/>
      <c r="F23" s="41" t="s">
        <v>126</v>
      </c>
      <c r="G23" s="41"/>
      <c r="H23" s="41"/>
      <c r="I23" s="41"/>
      <c r="J23" s="41"/>
      <c r="K23" s="41"/>
      <c r="L23" s="41"/>
      <c r="M23" s="41"/>
      <c r="N23" s="41" t="s">
        <v>126</v>
      </c>
      <c r="O23" s="41" t="s">
        <v>126</v>
      </c>
      <c r="P23" s="41" t="s">
        <v>126</v>
      </c>
      <c r="Q23" s="41" t="s">
        <v>126</v>
      </c>
      <c r="R23" s="41"/>
      <c r="S23" s="41"/>
      <c r="T23" s="41" t="s">
        <v>126</v>
      </c>
      <c r="U23" s="41" t="s">
        <v>126</v>
      </c>
      <c r="V23" s="41"/>
      <c r="W23" s="41"/>
      <c r="X23" s="41"/>
      <c r="Y23" s="41" t="s">
        <v>126</v>
      </c>
      <c r="Z23" s="41"/>
      <c r="AA23" s="41" t="s">
        <v>126</v>
      </c>
      <c r="AB23" s="41" t="s">
        <v>126</v>
      </c>
      <c r="AC23" s="41" t="s">
        <v>126</v>
      </c>
      <c r="AD23" s="41" t="s">
        <v>126</v>
      </c>
      <c r="AE23" s="41" t="s">
        <v>126</v>
      </c>
      <c r="AF23" s="41"/>
      <c r="AG23" s="41"/>
      <c r="AH23" s="41"/>
      <c r="AI23" s="41" t="s">
        <v>126</v>
      </c>
      <c r="AJ23" s="41" t="s">
        <v>126</v>
      </c>
      <c r="AK23" s="41" t="s">
        <v>126</v>
      </c>
      <c r="AL23" s="41"/>
      <c r="AM23" s="41"/>
      <c r="AN23" s="41"/>
      <c r="AO23" s="41" t="s">
        <v>126</v>
      </c>
      <c r="AP23" s="41" t="s">
        <v>126</v>
      </c>
      <c r="AQ23" s="41" t="s">
        <v>126</v>
      </c>
      <c r="AR23" s="41" t="s">
        <v>126</v>
      </c>
      <c r="AS23" s="41" t="s">
        <v>126</v>
      </c>
      <c r="AT23" s="41"/>
      <c r="AU23" s="41"/>
      <c r="AV23" s="41"/>
      <c r="AW23" s="41"/>
      <c r="AX23" s="41"/>
      <c r="AY23" s="41"/>
      <c r="AZ23" s="41"/>
      <c r="BA23" s="41"/>
      <c r="BB23" s="41" t="s">
        <v>126</v>
      </c>
      <c r="BC23" s="41"/>
      <c r="BD23" s="41" t="s">
        <v>126</v>
      </c>
      <c r="BE23" s="41"/>
      <c r="BF23" s="41"/>
      <c r="BG23" s="41"/>
      <c r="BH23" s="41" t="s">
        <v>126</v>
      </c>
      <c r="BI23" s="41" t="s">
        <v>126</v>
      </c>
      <c r="BJ23" s="41"/>
      <c r="BK23" s="41"/>
      <c r="BL23" s="41"/>
      <c r="BM23" s="41" t="s">
        <v>126</v>
      </c>
      <c r="BN23" s="41" t="s">
        <v>126</v>
      </c>
      <c r="BO23" s="41" t="s">
        <v>126</v>
      </c>
      <c r="BP23" s="41" t="s">
        <v>126</v>
      </c>
      <c r="BQ23" s="41" t="s">
        <v>126</v>
      </c>
      <c r="BR23" s="41" t="s">
        <v>126</v>
      </c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 t="s">
        <v>126</v>
      </c>
      <c r="CE23" s="41"/>
      <c r="CF23" s="41"/>
      <c r="CG23" s="41" t="s">
        <v>126</v>
      </c>
      <c r="CH23" s="41" t="s">
        <v>126</v>
      </c>
      <c r="CI23" s="41" t="s">
        <v>126</v>
      </c>
      <c r="CJ23" s="41" t="s">
        <v>126</v>
      </c>
      <c r="CK23" s="41" t="s">
        <v>126</v>
      </c>
      <c r="CL23" s="41" t="s">
        <v>126</v>
      </c>
      <c r="CM23" s="41" t="s">
        <v>126</v>
      </c>
      <c r="CN23" s="41" t="s">
        <v>126</v>
      </c>
      <c r="CO23" s="41" t="s">
        <v>126</v>
      </c>
      <c r="CP23" s="41" t="s">
        <v>126</v>
      </c>
      <c r="CQ23" s="41" t="s">
        <v>126</v>
      </c>
      <c r="CR23" s="41" t="s">
        <v>126</v>
      </c>
      <c r="CS23" s="41"/>
      <c r="CT23" s="41" t="s">
        <v>126</v>
      </c>
      <c r="CU23" s="41" t="s">
        <v>126</v>
      </c>
      <c r="CV23" s="41" t="s">
        <v>126</v>
      </c>
      <c r="CW23" s="52" t="s">
        <v>126</v>
      </c>
      <c r="CX23" s="52" t="s">
        <v>126</v>
      </c>
    </row>
    <row r="24" spans="1:102" x14ac:dyDescent="0.25">
      <c r="A24" s="29" t="s">
        <v>139</v>
      </c>
      <c r="B24" s="41" t="s">
        <v>126</v>
      </c>
      <c r="C24" s="41" t="s">
        <v>126</v>
      </c>
      <c r="D24" s="41" t="s">
        <v>126</v>
      </c>
      <c r="E24" s="41" t="s">
        <v>126</v>
      </c>
      <c r="F24" s="41" t="s">
        <v>126</v>
      </c>
      <c r="G24" s="41" t="s">
        <v>126</v>
      </c>
      <c r="H24" s="41" t="s">
        <v>126</v>
      </c>
      <c r="I24" s="41" t="s">
        <v>126</v>
      </c>
      <c r="J24" s="41"/>
      <c r="K24" s="41" t="s">
        <v>126</v>
      </c>
      <c r="L24" s="41"/>
      <c r="M24" s="41"/>
      <c r="N24" s="41" t="s">
        <v>126</v>
      </c>
      <c r="O24" s="41" t="s">
        <v>126</v>
      </c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 t="s">
        <v>126</v>
      </c>
      <c r="AS24" s="41"/>
      <c r="AT24" s="41" t="s">
        <v>126</v>
      </c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 t="s">
        <v>126</v>
      </c>
      <c r="BN24" s="41" t="s">
        <v>126</v>
      </c>
      <c r="BO24" s="41" t="s">
        <v>126</v>
      </c>
      <c r="BP24" s="41" t="s">
        <v>126</v>
      </c>
      <c r="BQ24" s="41" t="s">
        <v>126</v>
      </c>
      <c r="BR24" s="41" t="s">
        <v>126</v>
      </c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52" t="s">
        <v>126</v>
      </c>
      <c r="CX24" s="52" t="s">
        <v>126</v>
      </c>
    </row>
    <row r="25" spans="1:102" x14ac:dyDescent="0.25">
      <c r="A25" s="29" t="s">
        <v>140</v>
      </c>
      <c r="B25" s="41" t="s">
        <v>126</v>
      </c>
      <c r="C25" s="41" t="s">
        <v>126</v>
      </c>
      <c r="D25" s="41" t="s">
        <v>126</v>
      </c>
      <c r="E25" s="41" t="s">
        <v>126</v>
      </c>
      <c r="F25" s="41" t="s">
        <v>126</v>
      </c>
      <c r="G25" s="41" t="s">
        <v>126</v>
      </c>
      <c r="H25" s="41" t="s">
        <v>126</v>
      </c>
      <c r="I25" s="41" t="s">
        <v>126</v>
      </c>
      <c r="J25" s="41" t="s">
        <v>126</v>
      </c>
      <c r="K25" s="41" t="s">
        <v>126</v>
      </c>
      <c r="L25" s="41" t="s">
        <v>126</v>
      </c>
      <c r="M25" s="41" t="s">
        <v>126</v>
      </c>
      <c r="N25" s="41" t="s">
        <v>126</v>
      </c>
      <c r="O25" s="41" t="s">
        <v>126</v>
      </c>
      <c r="P25" s="41" t="s">
        <v>126</v>
      </c>
      <c r="Q25" s="41" t="s">
        <v>126</v>
      </c>
      <c r="R25" s="41"/>
      <c r="S25" s="41"/>
      <c r="T25" s="41" t="s">
        <v>126</v>
      </c>
      <c r="U25" s="41" t="s">
        <v>126</v>
      </c>
      <c r="V25" s="41" t="s">
        <v>126</v>
      </c>
      <c r="W25" s="41" t="s">
        <v>126</v>
      </c>
      <c r="X25" s="41"/>
      <c r="Y25" s="41" t="s">
        <v>126</v>
      </c>
      <c r="Z25" s="41" t="s">
        <v>126</v>
      </c>
      <c r="AA25" s="41" t="s">
        <v>126</v>
      </c>
      <c r="AB25" s="41" t="s">
        <v>126</v>
      </c>
      <c r="AC25" s="41" t="s">
        <v>126</v>
      </c>
      <c r="AD25" s="41" t="s">
        <v>126</v>
      </c>
      <c r="AE25" s="41" t="s">
        <v>126</v>
      </c>
      <c r="AF25" s="41" t="s">
        <v>126</v>
      </c>
      <c r="AG25" s="41" t="s">
        <v>126</v>
      </c>
      <c r="AH25" s="41" t="s">
        <v>126</v>
      </c>
      <c r="AI25" s="41" t="s">
        <v>126</v>
      </c>
      <c r="AJ25" s="41" t="s">
        <v>126</v>
      </c>
      <c r="AK25" s="41"/>
      <c r="AL25" s="41" t="s">
        <v>126</v>
      </c>
      <c r="AM25" s="41" t="s">
        <v>126</v>
      </c>
      <c r="AN25" s="41" t="s">
        <v>126</v>
      </c>
      <c r="AO25" s="41" t="s">
        <v>126</v>
      </c>
      <c r="AP25" s="41" t="s">
        <v>126</v>
      </c>
      <c r="AQ25" s="41" t="s">
        <v>126</v>
      </c>
      <c r="AR25" s="41" t="s">
        <v>126</v>
      </c>
      <c r="AS25" s="41" t="s">
        <v>126</v>
      </c>
      <c r="AT25" s="41" t="s">
        <v>126</v>
      </c>
      <c r="AU25" s="41" t="s">
        <v>126</v>
      </c>
      <c r="AV25" s="41" t="s">
        <v>126</v>
      </c>
      <c r="AW25" s="41" t="s">
        <v>126</v>
      </c>
      <c r="AX25" s="41" t="s">
        <v>126</v>
      </c>
      <c r="AY25" s="41"/>
      <c r="AZ25" s="41" t="s">
        <v>126</v>
      </c>
      <c r="BA25" s="41" t="s">
        <v>126</v>
      </c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 t="s">
        <v>126</v>
      </c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 t="s">
        <v>126</v>
      </c>
      <c r="CP25" s="41" t="s">
        <v>126</v>
      </c>
      <c r="CQ25" s="41" t="s">
        <v>126</v>
      </c>
      <c r="CR25" s="41" t="s">
        <v>126</v>
      </c>
      <c r="CS25" s="41" t="s">
        <v>126</v>
      </c>
      <c r="CT25" s="41" t="s">
        <v>126</v>
      </c>
      <c r="CU25" s="41" t="s">
        <v>126</v>
      </c>
      <c r="CV25" s="41" t="s">
        <v>126</v>
      </c>
      <c r="CW25" s="52" t="s">
        <v>126</v>
      </c>
      <c r="CX25" s="52" t="s">
        <v>126</v>
      </c>
    </row>
    <row r="26" spans="1:102" x14ac:dyDescent="0.25">
      <c r="A26" s="29" t="s">
        <v>15</v>
      </c>
      <c r="B26" s="41" t="s">
        <v>126</v>
      </c>
      <c r="C26" s="41" t="s">
        <v>126</v>
      </c>
      <c r="D26" s="41" t="s">
        <v>126</v>
      </c>
      <c r="E26" s="41" t="s">
        <v>126</v>
      </c>
      <c r="F26" s="41" t="s">
        <v>126</v>
      </c>
      <c r="G26" s="41" t="s">
        <v>126</v>
      </c>
      <c r="H26" s="41" t="s">
        <v>126</v>
      </c>
      <c r="I26" s="41" t="s">
        <v>126</v>
      </c>
      <c r="J26" s="41"/>
      <c r="K26" s="41" t="s">
        <v>126</v>
      </c>
      <c r="L26" s="41" t="s">
        <v>126</v>
      </c>
      <c r="M26" s="41" t="s">
        <v>126</v>
      </c>
      <c r="N26" s="41" t="s">
        <v>126</v>
      </c>
      <c r="O26" s="41" t="s">
        <v>126</v>
      </c>
      <c r="P26" s="41" t="s">
        <v>126</v>
      </c>
      <c r="Q26" s="41" t="s">
        <v>126</v>
      </c>
      <c r="R26" s="41"/>
      <c r="S26" s="41"/>
      <c r="T26" s="41"/>
      <c r="U26" s="41"/>
      <c r="V26" s="41" t="s">
        <v>126</v>
      </c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 t="s">
        <v>126</v>
      </c>
      <c r="AU26" s="41"/>
      <c r="AV26" s="41"/>
      <c r="AW26" s="41"/>
      <c r="AX26" s="41"/>
      <c r="AY26" s="41"/>
      <c r="AZ26" s="41"/>
      <c r="BA26" s="41"/>
      <c r="BB26" s="41"/>
      <c r="BC26" s="41"/>
      <c r="BD26" s="41" t="s">
        <v>126</v>
      </c>
      <c r="BE26" s="41"/>
      <c r="BF26" s="41" t="s">
        <v>126</v>
      </c>
      <c r="BG26" s="41"/>
      <c r="BH26" s="41" t="s">
        <v>126</v>
      </c>
      <c r="BI26" s="41" t="s">
        <v>126</v>
      </c>
      <c r="BJ26" s="41" t="s">
        <v>126</v>
      </c>
      <c r="BK26" s="41" t="s">
        <v>126</v>
      </c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52" t="s">
        <v>126</v>
      </c>
      <c r="CX26" s="52" t="s">
        <v>126</v>
      </c>
    </row>
    <row r="27" spans="1:102" x14ac:dyDescent="0.25">
      <c r="A27" s="77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78"/>
      <c r="BV27" s="78"/>
      <c r="BW27" s="78"/>
      <c r="BX27" s="78"/>
      <c r="BY27" s="78"/>
      <c r="BZ27" s="78"/>
      <c r="CA27" s="78"/>
      <c r="CB27" s="78"/>
      <c r="CC27" s="78"/>
      <c r="CD27" s="78"/>
      <c r="CE27" s="78"/>
      <c r="CF27" s="78"/>
      <c r="CG27" s="78"/>
      <c r="CH27" s="78"/>
      <c r="CI27" s="78"/>
      <c r="CJ27" s="78"/>
      <c r="CK27" s="78"/>
      <c r="CL27" s="78"/>
      <c r="CM27" s="78"/>
      <c r="CN27" s="78"/>
      <c r="CO27" s="78"/>
      <c r="CP27" s="78"/>
      <c r="CQ27" s="78"/>
      <c r="CR27" s="78"/>
      <c r="CS27" s="78"/>
      <c r="CT27" s="78"/>
      <c r="CU27" s="78"/>
      <c r="CV27" s="78"/>
      <c r="CW27" s="78"/>
      <c r="CX27" s="78"/>
    </row>
    <row r="28" spans="1:102" x14ac:dyDescent="0.25">
      <c r="A28" s="77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  <c r="BW28" s="78"/>
      <c r="BX28" s="78"/>
      <c r="BY28" s="78"/>
      <c r="BZ28" s="78"/>
      <c r="CA28" s="78"/>
      <c r="CB28" s="78"/>
      <c r="CC28" s="78"/>
      <c r="CD28" s="78"/>
      <c r="CE28" s="78"/>
      <c r="CF28" s="78"/>
      <c r="CG28" s="78"/>
      <c r="CH28" s="78"/>
      <c r="CI28" s="78"/>
      <c r="CJ28" s="78"/>
      <c r="CK28" s="78"/>
      <c r="CL28" s="78"/>
      <c r="CM28" s="78"/>
      <c r="CN28" s="78"/>
      <c r="CO28" s="78"/>
      <c r="CP28" s="78"/>
      <c r="CQ28" s="78"/>
      <c r="CR28" s="78"/>
      <c r="CS28" s="78"/>
      <c r="CT28" s="78"/>
      <c r="CU28" s="78"/>
      <c r="CV28" s="78"/>
      <c r="CW28" s="78"/>
      <c r="CX28" s="78"/>
    </row>
    <row r="29" spans="1:102" x14ac:dyDescent="0.25">
      <c r="A29" s="77"/>
      <c r="B29" s="78" t="b">
        <f>B31='Multipack Children'!B2</f>
        <v>1</v>
      </c>
      <c r="C29" s="78" t="b">
        <f>C31='Multipack Children'!C2</f>
        <v>1</v>
      </c>
      <c r="D29" s="78" t="b">
        <f>D31='Multipack Children'!D2</f>
        <v>1</v>
      </c>
      <c r="E29" s="78" t="b">
        <f>E31='Multipack Children'!E2</f>
        <v>1</v>
      </c>
      <c r="F29" s="78" t="b">
        <f>F31='Multipack Children'!F2</f>
        <v>1</v>
      </c>
      <c r="G29" s="78" t="b">
        <f>G31='Multipack Children'!G2</f>
        <v>1</v>
      </c>
      <c r="H29" s="78" t="b">
        <f>H31='Multipack Children'!H2</f>
        <v>1</v>
      </c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  <c r="BW29" s="78"/>
      <c r="BX29" s="78"/>
      <c r="BY29" s="78"/>
      <c r="BZ29" s="78"/>
      <c r="CA29" s="78"/>
      <c r="CB29" s="78"/>
      <c r="CC29" s="78"/>
      <c r="CD29" s="78"/>
      <c r="CE29" s="78"/>
      <c r="CF29" s="78"/>
      <c r="CG29" s="78"/>
      <c r="CH29" s="78"/>
      <c r="CI29" s="78"/>
      <c r="CJ29" s="78"/>
      <c r="CK29" s="78"/>
      <c r="CL29" s="78"/>
      <c r="CM29" s="78"/>
      <c r="CN29" s="78"/>
      <c r="CO29" s="78"/>
      <c r="CP29" s="78"/>
      <c r="CQ29" s="78"/>
      <c r="CR29" s="78"/>
      <c r="CS29" s="78"/>
      <c r="CT29" s="78"/>
      <c r="CU29" s="78"/>
      <c r="CV29" s="78"/>
      <c r="CW29" s="78"/>
      <c r="CX29" s="78"/>
    </row>
    <row r="30" spans="1:102" x14ac:dyDescent="0.25">
      <c r="A30" t="s">
        <v>558</v>
      </c>
      <c r="B30" t="s">
        <v>453</v>
      </c>
      <c r="C30" t="s">
        <v>454</v>
      </c>
      <c r="D30" s="50" t="s">
        <v>549</v>
      </c>
      <c r="E30" s="50" t="s">
        <v>548</v>
      </c>
      <c r="F30" s="50" t="s">
        <v>551</v>
      </c>
      <c r="G30" s="50" t="s">
        <v>552</v>
      </c>
      <c r="H30" s="50" t="s">
        <v>553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X30" s="50"/>
      <c r="Y30" s="50"/>
      <c r="Z30" s="50"/>
      <c r="AA30" s="50"/>
      <c r="AB30" s="50"/>
      <c r="AC30" s="50"/>
      <c r="AE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0"/>
      <c r="CF30" s="50"/>
      <c r="CG30" s="50"/>
      <c r="CH30" s="50"/>
      <c r="CI30" s="50"/>
      <c r="CJ30" s="50"/>
      <c r="CK30" s="50"/>
      <c r="CL30" s="50"/>
      <c r="CM30" s="50"/>
      <c r="CN30" s="50"/>
      <c r="CO30" s="50"/>
      <c r="CP30" s="50"/>
      <c r="CQ30" s="50"/>
      <c r="CR30" s="50"/>
      <c r="CS30" s="50"/>
      <c r="CT30" s="50"/>
      <c r="CU30" s="50"/>
      <c r="CV30" s="50"/>
      <c r="CW30" s="50"/>
      <c r="CX30" s="50"/>
    </row>
    <row r="31" spans="1:102" x14ac:dyDescent="0.25">
      <c r="A31" t="s">
        <v>550</v>
      </c>
      <c r="B31" t="s">
        <v>546</v>
      </c>
      <c r="C31" t="s">
        <v>547</v>
      </c>
      <c r="D31" t="s">
        <v>545</v>
      </c>
      <c r="E31" t="s">
        <v>544</v>
      </c>
      <c r="F31" t="s">
        <v>70</v>
      </c>
      <c r="G31" t="s">
        <v>71</v>
      </c>
      <c r="H31" t="s">
        <v>41</v>
      </c>
    </row>
    <row r="32" spans="1:102" x14ac:dyDescent="0.25">
      <c r="A32" s="61"/>
      <c r="B32" s="61"/>
    </row>
    <row r="33" spans="1:16" x14ac:dyDescent="0.25">
      <c r="B33" t="b">
        <f>B35=dtMultiArtworkUPC</f>
        <v>1</v>
      </c>
      <c r="C33" t="b">
        <f>C35='Multiple Artwork for Product'!C2</f>
        <v>1</v>
      </c>
      <c r="D33" t="b">
        <f>D35='Multiple Artwork for Product'!D2</f>
        <v>1</v>
      </c>
      <c r="E33" t="b">
        <f>E35='Multiple Artwork for Product'!E2</f>
        <v>1</v>
      </c>
      <c r="F33" t="b">
        <f>F35='Multiple Artwork for Product'!F2</f>
        <v>1</v>
      </c>
      <c r="G33" t="b">
        <f>G35='Multiple Artwork for Product'!G2</f>
        <v>1</v>
      </c>
      <c r="H33" t="b">
        <f>H35='Multiple Artwork for Product'!H2</f>
        <v>1</v>
      </c>
      <c r="I33" t="b">
        <f>I35='Multiple Artwork for Product'!I2</f>
        <v>1</v>
      </c>
      <c r="J33" t="b">
        <f>J35='Multiple Artwork for Product'!J2</f>
        <v>1</v>
      </c>
      <c r="K33" t="b">
        <f>K35='Multiple Artwork for Product'!K2</f>
        <v>1</v>
      </c>
      <c r="L33" t="b">
        <f>L35='Multiple Artwork for Product'!L2</f>
        <v>1</v>
      </c>
      <c r="M33" t="b">
        <f>M35='Multiple Artwork for Product'!M2</f>
        <v>1</v>
      </c>
      <c r="N33" t="b">
        <f>N35='Multiple Artwork for Product'!N2</f>
        <v>1</v>
      </c>
      <c r="O33" t="b">
        <f>O35='Multiple Artwork for Product'!O2</f>
        <v>1</v>
      </c>
      <c r="P33" t="b">
        <f>P35='Multiple Artwork for Product'!P2</f>
        <v>1</v>
      </c>
    </row>
    <row r="34" spans="1:16" x14ac:dyDescent="0.25">
      <c r="A34" t="s">
        <v>559</v>
      </c>
      <c r="B34" t="s">
        <v>453</v>
      </c>
      <c r="C34" t="s">
        <v>454</v>
      </c>
      <c r="D34" t="s">
        <v>481</v>
      </c>
      <c r="E34" t="s">
        <v>482</v>
      </c>
      <c r="F34" t="s">
        <v>466</v>
      </c>
      <c r="G34" t="s">
        <v>467</v>
      </c>
      <c r="H34" t="s">
        <v>468</v>
      </c>
      <c r="I34" t="s">
        <v>470</v>
      </c>
      <c r="J34" t="s">
        <v>471</v>
      </c>
      <c r="K34" t="s">
        <v>472</v>
      </c>
      <c r="L34" t="s">
        <v>474</v>
      </c>
      <c r="M34" t="s">
        <v>475</v>
      </c>
      <c r="N34" t="s">
        <v>451</v>
      </c>
      <c r="O34" t="s">
        <v>486</v>
      </c>
      <c r="P34" t="s">
        <v>556</v>
      </c>
    </row>
    <row r="35" spans="1:16" x14ac:dyDescent="0.25">
      <c r="A35" t="s">
        <v>554</v>
      </c>
      <c r="B35" t="s">
        <v>38</v>
      </c>
      <c r="C35" t="s">
        <v>555</v>
      </c>
      <c r="D35" t="s">
        <v>70</v>
      </c>
      <c r="E35" t="s">
        <v>143</v>
      </c>
      <c r="F35" t="s">
        <v>53</v>
      </c>
      <c r="G35" t="s">
        <v>54</v>
      </c>
      <c r="H35" t="s">
        <v>55</v>
      </c>
      <c r="I35" t="s">
        <v>57</v>
      </c>
      <c r="J35" t="s">
        <v>144</v>
      </c>
      <c r="K35" t="s">
        <v>145</v>
      </c>
      <c r="L35" t="s">
        <v>61</v>
      </c>
      <c r="M35" t="s">
        <v>146</v>
      </c>
      <c r="N35" t="s">
        <v>147</v>
      </c>
      <c r="O35" t="s">
        <v>148</v>
      </c>
      <c r="P35" t="s">
        <v>149</v>
      </c>
    </row>
  </sheetData>
  <sortState ref="A9:CK22">
    <sortCondition ref="A9"/>
  </sortState>
  <conditionalFormatting sqref="B3:F3 CO3:CV3 CG3:CL3 I3 V3:AA3 AC3:AW3 K3:T3 AY3:CD3">
    <cfRule type="cellIs" dxfId="13" priority="103" operator="equal">
      <formula>FALSE</formula>
    </cfRule>
  </conditionalFormatting>
  <conditionalFormatting sqref="CM3">
    <cfRule type="cellIs" dxfId="12" priority="16" operator="equal">
      <formula>FALSE</formula>
    </cfRule>
  </conditionalFormatting>
  <conditionalFormatting sqref="CN3">
    <cfRule type="cellIs" dxfId="11" priority="15" operator="equal">
      <formula>FALSE</formula>
    </cfRule>
  </conditionalFormatting>
  <conditionalFormatting sqref="CW3">
    <cfRule type="cellIs" dxfId="10" priority="14" operator="equal">
      <formula>FALSE</formula>
    </cfRule>
  </conditionalFormatting>
  <conditionalFormatting sqref="CX3">
    <cfRule type="cellIs" dxfId="9" priority="13" operator="equal">
      <formula>FALSE</formula>
    </cfRule>
  </conditionalFormatting>
  <conditionalFormatting sqref="G3:H3">
    <cfRule type="cellIs" dxfId="8" priority="6" operator="equal">
      <formula>FALSE</formula>
    </cfRule>
  </conditionalFormatting>
  <conditionalFormatting sqref="CE3:CF3">
    <cfRule type="cellIs" dxfId="7" priority="5" operator="equal">
      <formula>FALSE</formula>
    </cfRule>
  </conditionalFormatting>
  <conditionalFormatting sqref="U3">
    <cfRule type="cellIs" dxfId="6" priority="4" operator="equal">
      <formula>FALSE</formula>
    </cfRule>
  </conditionalFormatting>
  <conditionalFormatting sqref="AB3">
    <cfRule type="cellIs" dxfId="5" priority="3" operator="equal">
      <formula>FALSE</formula>
    </cfRule>
  </conditionalFormatting>
  <conditionalFormatting sqref="J3">
    <cfRule type="cellIs" dxfId="4" priority="2" operator="equal">
      <formula>FALSE</formula>
    </cfRule>
  </conditionalFormatting>
  <conditionalFormatting sqref="AX3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llListsSheet">
    <tabColor rgb="FFFF0000"/>
  </sheetPr>
  <dimension ref="B3:G100"/>
  <sheetViews>
    <sheetView workbookViewId="0"/>
  </sheetViews>
  <sheetFormatPr defaultColWidth="8.7109375" defaultRowHeight="15" x14ac:dyDescent="0.25"/>
  <cols>
    <col min="2" max="2" bestFit="true" customWidth="true" width="43.28515625" collapsed="true"/>
    <col min="5" max="5" bestFit="true" customWidth="true" width="39.42578125" collapsed="true"/>
    <col min="6" max="6" bestFit="true" customWidth="true" width="14.7109375" collapsed="true"/>
    <col min="7" max="7" bestFit="true" customWidth="true" width="13.28515625" collapsed="true"/>
  </cols>
  <sheetData>
    <row r="3" spans="2:7" x14ac:dyDescent="0.25">
      <c r="B3" s="55" t="s">
        <v>157</v>
      </c>
      <c r="D3" s="55" t="s">
        <v>158</v>
      </c>
      <c r="E3" s="55" t="s">
        <v>159</v>
      </c>
      <c r="F3" s="55" t="s">
        <v>160</v>
      </c>
      <c r="G3" s="55" t="s">
        <v>161</v>
      </c>
    </row>
    <row r="4" spans="2:7" x14ac:dyDescent="0.25">
      <c r="B4" s="53" t="s">
        <v>162</v>
      </c>
      <c r="D4">
        <v>36</v>
      </c>
      <c r="E4" t="s">
        <v>64</v>
      </c>
      <c r="F4" t="s">
        <v>10</v>
      </c>
      <c r="G4" t="s">
        <v>23</v>
      </c>
    </row>
    <row r="5" spans="2:7" x14ac:dyDescent="0.25">
      <c r="B5" s="53" t="s">
        <v>163</v>
      </c>
      <c r="D5">
        <v>54</v>
      </c>
      <c r="E5" t="s">
        <v>82</v>
      </c>
      <c r="F5" t="s">
        <v>9</v>
      </c>
      <c r="G5" t="s">
        <v>23</v>
      </c>
    </row>
    <row r="6" spans="2:7" x14ac:dyDescent="0.25">
      <c r="B6" s="53" t="s">
        <v>164</v>
      </c>
      <c r="D6">
        <v>21</v>
      </c>
      <c r="E6" t="s">
        <v>49</v>
      </c>
      <c r="F6" t="s">
        <v>10</v>
      </c>
    </row>
    <row r="7" spans="2:7" x14ac:dyDescent="0.25">
      <c r="B7" s="53" t="s">
        <v>165</v>
      </c>
      <c r="D7">
        <v>79</v>
      </c>
      <c r="E7" t="s">
        <v>107</v>
      </c>
      <c r="F7" t="s">
        <v>9</v>
      </c>
      <c r="G7" t="s">
        <v>23</v>
      </c>
    </row>
    <row r="8" spans="2:7" x14ac:dyDescent="0.25">
      <c r="B8" s="53" t="s">
        <v>166</v>
      </c>
      <c r="D8">
        <v>81</v>
      </c>
      <c r="E8" t="s">
        <v>109</v>
      </c>
      <c r="F8" t="s">
        <v>9</v>
      </c>
      <c r="G8" t="s">
        <v>23</v>
      </c>
    </row>
    <row r="9" spans="2:7" x14ac:dyDescent="0.25">
      <c r="B9" s="53" t="s">
        <v>167</v>
      </c>
      <c r="D9">
        <v>80</v>
      </c>
      <c r="E9" t="s">
        <v>108</v>
      </c>
      <c r="F9" t="s">
        <v>9</v>
      </c>
    </row>
    <row r="10" spans="2:7" x14ac:dyDescent="0.25">
      <c r="B10" s="53" t="s">
        <v>168</v>
      </c>
      <c r="D10">
        <v>91</v>
      </c>
      <c r="E10" t="s">
        <v>118</v>
      </c>
      <c r="F10" t="s">
        <v>16</v>
      </c>
      <c r="G10" t="s">
        <v>23</v>
      </c>
    </row>
    <row r="11" spans="2:7" x14ac:dyDescent="0.25">
      <c r="B11" s="53" t="s">
        <v>169</v>
      </c>
      <c r="D11">
        <v>35</v>
      </c>
      <c r="E11" t="s">
        <v>63</v>
      </c>
      <c r="F11" t="s">
        <v>10</v>
      </c>
    </row>
    <row r="12" spans="2:7" x14ac:dyDescent="0.25">
      <c r="B12" s="53" t="s">
        <v>170</v>
      </c>
      <c r="D12">
        <v>38</v>
      </c>
      <c r="E12" t="s">
        <v>66</v>
      </c>
      <c r="F12" t="s">
        <v>10</v>
      </c>
      <c r="G12" t="s">
        <v>23</v>
      </c>
    </row>
    <row r="13" spans="2:7" x14ac:dyDescent="0.25">
      <c r="B13" s="53" t="s">
        <v>58</v>
      </c>
      <c r="D13">
        <v>7</v>
      </c>
      <c r="E13" t="s">
        <v>35</v>
      </c>
      <c r="F13" t="s">
        <v>9</v>
      </c>
    </row>
    <row r="14" spans="2:7" x14ac:dyDescent="0.25">
      <c r="B14" s="53" t="s">
        <v>171</v>
      </c>
      <c r="D14">
        <v>82</v>
      </c>
      <c r="E14" t="s">
        <v>110</v>
      </c>
      <c r="F14" t="s">
        <v>9</v>
      </c>
      <c r="G14" t="s">
        <v>23</v>
      </c>
    </row>
    <row r="15" spans="2:7" x14ac:dyDescent="0.25">
      <c r="B15" s="56" t="s">
        <v>172</v>
      </c>
      <c r="D15">
        <v>4</v>
      </c>
      <c r="E15" t="s">
        <v>32</v>
      </c>
      <c r="F15" t="s">
        <v>9</v>
      </c>
      <c r="G15" t="s">
        <v>20</v>
      </c>
    </row>
    <row r="16" spans="2:7" x14ac:dyDescent="0.25">
      <c r="B16" s="53" t="s">
        <v>156</v>
      </c>
      <c r="D16">
        <v>15</v>
      </c>
      <c r="E16" t="s">
        <v>43</v>
      </c>
      <c r="F16" t="s">
        <v>13</v>
      </c>
      <c r="G16" t="s">
        <v>23</v>
      </c>
    </row>
    <row r="17" spans="2:7" x14ac:dyDescent="0.25">
      <c r="B17" s="58" t="s">
        <v>173</v>
      </c>
      <c r="D17">
        <v>97</v>
      </c>
      <c r="E17" t="s">
        <v>124</v>
      </c>
      <c r="F17" t="s">
        <v>17</v>
      </c>
      <c r="G17" t="s">
        <v>23</v>
      </c>
    </row>
    <row r="18" spans="2:7" x14ac:dyDescent="0.25">
      <c r="B18" s="53" t="s">
        <v>46</v>
      </c>
      <c r="D18">
        <v>13</v>
      </c>
      <c r="E18" t="s">
        <v>41</v>
      </c>
      <c r="F18" t="s">
        <v>10</v>
      </c>
      <c r="G18" t="s">
        <v>24</v>
      </c>
    </row>
    <row r="19" spans="2:7" x14ac:dyDescent="0.25">
      <c r="B19" s="53" t="s">
        <v>174</v>
      </c>
      <c r="D19">
        <v>14</v>
      </c>
      <c r="E19" t="s">
        <v>42</v>
      </c>
      <c r="F19" t="s">
        <v>13</v>
      </c>
      <c r="G19" t="s">
        <v>23</v>
      </c>
    </row>
    <row r="20" spans="2:7" x14ac:dyDescent="0.25">
      <c r="B20" s="53" t="s">
        <v>175</v>
      </c>
      <c r="D20">
        <v>2</v>
      </c>
      <c r="E20" t="s">
        <v>30</v>
      </c>
      <c r="F20" t="s">
        <v>9</v>
      </c>
    </row>
    <row r="21" spans="2:7" x14ac:dyDescent="0.25">
      <c r="B21" s="53" t="s">
        <v>176</v>
      </c>
      <c r="D21">
        <v>12</v>
      </c>
      <c r="E21" t="s">
        <v>40</v>
      </c>
      <c r="F21" t="s">
        <v>10</v>
      </c>
      <c r="G21" t="s">
        <v>23</v>
      </c>
    </row>
    <row r="22" spans="2:7" x14ac:dyDescent="0.25">
      <c r="B22" s="53" t="s">
        <v>177</v>
      </c>
      <c r="D22">
        <v>11</v>
      </c>
      <c r="E22" t="s">
        <v>39</v>
      </c>
      <c r="F22" t="s">
        <v>10</v>
      </c>
      <c r="G22" t="s">
        <v>23</v>
      </c>
    </row>
    <row r="23" spans="2:7" x14ac:dyDescent="0.25">
      <c r="B23" s="53" t="s">
        <v>34</v>
      </c>
      <c r="D23">
        <v>28</v>
      </c>
      <c r="E23" t="s">
        <v>56</v>
      </c>
      <c r="F23" t="s">
        <v>10</v>
      </c>
      <c r="G23" t="s">
        <v>23</v>
      </c>
    </row>
    <row r="24" spans="2:7" x14ac:dyDescent="0.25">
      <c r="B24" s="57" t="s">
        <v>178</v>
      </c>
      <c r="D24">
        <v>52</v>
      </c>
      <c r="E24" t="s">
        <v>80</v>
      </c>
      <c r="F24" t="s">
        <v>9</v>
      </c>
      <c r="G24" t="s">
        <v>23</v>
      </c>
    </row>
    <row r="25" spans="2:7" x14ac:dyDescent="0.25">
      <c r="B25" s="53" t="s">
        <v>179</v>
      </c>
      <c r="D25">
        <v>51</v>
      </c>
      <c r="E25" t="s">
        <v>79</v>
      </c>
      <c r="F25" t="s">
        <v>9</v>
      </c>
    </row>
    <row r="26" spans="2:7" x14ac:dyDescent="0.25">
      <c r="B26" s="53" t="s">
        <v>31</v>
      </c>
      <c r="D26">
        <v>19</v>
      </c>
      <c r="E26" t="s">
        <v>47</v>
      </c>
      <c r="F26" t="s">
        <v>10</v>
      </c>
      <c r="G26" t="s">
        <v>23</v>
      </c>
    </row>
    <row r="27" spans="2:7" x14ac:dyDescent="0.25">
      <c r="B27" s="53" t="s">
        <v>153</v>
      </c>
      <c r="D27">
        <v>34</v>
      </c>
      <c r="E27" t="s">
        <v>62</v>
      </c>
      <c r="F27" t="s">
        <v>10</v>
      </c>
    </row>
    <row r="28" spans="2:7" x14ac:dyDescent="0.25">
      <c r="B28" s="57" t="s">
        <v>180</v>
      </c>
      <c r="D28">
        <v>33</v>
      </c>
      <c r="E28" t="s">
        <v>61</v>
      </c>
      <c r="F28" t="s">
        <v>10</v>
      </c>
      <c r="G28" t="s">
        <v>23</v>
      </c>
    </row>
    <row r="29" spans="2:7" x14ac:dyDescent="0.25">
      <c r="B29" s="53" t="s">
        <v>181</v>
      </c>
      <c r="D29">
        <v>37</v>
      </c>
      <c r="E29" t="s">
        <v>65</v>
      </c>
      <c r="F29" t="s">
        <v>10</v>
      </c>
    </row>
    <row r="30" spans="2:7" x14ac:dyDescent="0.25">
      <c r="B30" s="56" t="s">
        <v>182</v>
      </c>
      <c r="D30">
        <v>30</v>
      </c>
      <c r="E30" t="s">
        <v>58</v>
      </c>
      <c r="F30" t="s">
        <v>10</v>
      </c>
      <c r="G30" t="s">
        <v>23</v>
      </c>
    </row>
    <row r="31" spans="2:7" x14ac:dyDescent="0.25">
      <c r="B31" s="53" t="s">
        <v>183</v>
      </c>
      <c r="D31">
        <v>48</v>
      </c>
      <c r="E31" t="s">
        <v>76</v>
      </c>
      <c r="F31" t="s">
        <v>9</v>
      </c>
      <c r="G31" t="s">
        <v>23</v>
      </c>
    </row>
    <row r="32" spans="2:7" x14ac:dyDescent="0.25">
      <c r="B32" s="57" t="s">
        <v>155</v>
      </c>
      <c r="D32">
        <v>95</v>
      </c>
      <c r="E32" t="s">
        <v>122</v>
      </c>
      <c r="F32" t="s">
        <v>16</v>
      </c>
      <c r="G32" t="s">
        <v>23</v>
      </c>
    </row>
    <row r="33" spans="2:7" x14ac:dyDescent="0.25">
      <c r="B33" s="53" t="s">
        <v>184</v>
      </c>
      <c r="D33">
        <v>18</v>
      </c>
      <c r="E33" t="s">
        <v>46</v>
      </c>
      <c r="F33" t="s">
        <v>10</v>
      </c>
    </row>
    <row r="34" spans="2:7" x14ac:dyDescent="0.25">
      <c r="B34" s="53" t="s">
        <v>102</v>
      </c>
      <c r="D34">
        <v>83</v>
      </c>
      <c r="E34" t="s">
        <v>111</v>
      </c>
      <c r="F34" t="s">
        <v>10</v>
      </c>
      <c r="G34" t="s">
        <v>23</v>
      </c>
    </row>
    <row r="35" spans="2:7" x14ac:dyDescent="0.25">
      <c r="B35" s="53" t="s">
        <v>185</v>
      </c>
      <c r="D35">
        <v>84</v>
      </c>
      <c r="E35" t="s">
        <v>112</v>
      </c>
      <c r="F35" t="s">
        <v>10</v>
      </c>
    </row>
    <row r="36" spans="2:7" x14ac:dyDescent="0.25">
      <c r="B36" s="53" t="s">
        <v>186</v>
      </c>
      <c r="D36">
        <v>85</v>
      </c>
      <c r="E36" t="s">
        <v>113</v>
      </c>
      <c r="F36" t="s">
        <v>10</v>
      </c>
    </row>
    <row r="37" spans="2:7" x14ac:dyDescent="0.25">
      <c r="B37" s="56" t="s">
        <v>187</v>
      </c>
      <c r="D37">
        <v>66</v>
      </c>
      <c r="E37" t="s">
        <v>94</v>
      </c>
      <c r="F37" t="s">
        <v>9</v>
      </c>
      <c r="G37" t="s">
        <v>25</v>
      </c>
    </row>
    <row r="38" spans="2:7" x14ac:dyDescent="0.25">
      <c r="B38" s="58" t="s">
        <v>188</v>
      </c>
      <c r="D38">
        <v>68</v>
      </c>
      <c r="E38" t="s">
        <v>96</v>
      </c>
      <c r="F38" t="s">
        <v>9</v>
      </c>
      <c r="G38" t="s">
        <v>23</v>
      </c>
    </row>
    <row r="39" spans="2:7" x14ac:dyDescent="0.25">
      <c r="B39" s="53" t="s">
        <v>189</v>
      </c>
      <c r="D39">
        <v>32</v>
      </c>
      <c r="E39" t="s">
        <v>60</v>
      </c>
      <c r="F39" t="s">
        <v>10</v>
      </c>
      <c r="G39" t="s">
        <v>23</v>
      </c>
    </row>
    <row r="40" spans="2:7" x14ac:dyDescent="0.25">
      <c r="B40" s="53" t="s">
        <v>59</v>
      </c>
      <c r="D40">
        <v>62</v>
      </c>
      <c r="E40" t="s">
        <v>90</v>
      </c>
      <c r="F40" t="s">
        <v>9</v>
      </c>
      <c r="G40" t="s">
        <v>23</v>
      </c>
    </row>
    <row r="41" spans="2:7" x14ac:dyDescent="0.25">
      <c r="B41" s="53" t="s">
        <v>190</v>
      </c>
      <c r="D41">
        <v>50</v>
      </c>
      <c r="E41" t="s">
        <v>78</v>
      </c>
      <c r="F41" t="s">
        <v>9</v>
      </c>
    </row>
    <row r="42" spans="2:7" x14ac:dyDescent="0.25">
      <c r="B42" s="53" t="s">
        <v>191</v>
      </c>
      <c r="D42">
        <v>39</v>
      </c>
      <c r="E42" t="s">
        <v>67</v>
      </c>
      <c r="F42" t="s">
        <v>10</v>
      </c>
      <c r="G42" t="s">
        <v>23</v>
      </c>
    </row>
    <row r="43" spans="2:7" x14ac:dyDescent="0.25">
      <c r="B43" s="53" t="s">
        <v>192</v>
      </c>
      <c r="D43">
        <v>93</v>
      </c>
      <c r="E43" t="s">
        <v>120</v>
      </c>
      <c r="F43" t="s">
        <v>16</v>
      </c>
    </row>
    <row r="44" spans="2:7" x14ac:dyDescent="0.25">
      <c r="B44" s="53" t="s">
        <v>193</v>
      </c>
      <c r="D44">
        <v>6</v>
      </c>
      <c r="E44" t="s">
        <v>34</v>
      </c>
      <c r="F44" t="s">
        <v>8</v>
      </c>
      <c r="G44" t="s">
        <v>22</v>
      </c>
    </row>
    <row r="45" spans="2:7" x14ac:dyDescent="0.25">
      <c r="B45" s="53" t="s">
        <v>69</v>
      </c>
      <c r="D45">
        <v>53</v>
      </c>
      <c r="E45" t="s">
        <v>81</v>
      </c>
      <c r="F45" t="s">
        <v>9</v>
      </c>
      <c r="G45" t="s">
        <v>23</v>
      </c>
    </row>
    <row r="46" spans="2:7" x14ac:dyDescent="0.25">
      <c r="B46" s="53" t="s">
        <v>194</v>
      </c>
      <c r="D46">
        <v>22</v>
      </c>
      <c r="E46" t="s">
        <v>50</v>
      </c>
      <c r="F46" t="s">
        <v>10</v>
      </c>
      <c r="G46" t="s">
        <v>23</v>
      </c>
    </row>
    <row r="47" spans="2:7" x14ac:dyDescent="0.25">
      <c r="B47" s="53" t="s">
        <v>195</v>
      </c>
      <c r="D47">
        <v>46</v>
      </c>
      <c r="E47" t="s">
        <v>74</v>
      </c>
      <c r="F47" t="s">
        <v>14</v>
      </c>
      <c r="G47" t="s">
        <v>21</v>
      </c>
    </row>
    <row r="48" spans="2:7" x14ac:dyDescent="0.25">
      <c r="B48" s="53" t="s">
        <v>196</v>
      </c>
      <c r="D48">
        <v>61</v>
      </c>
      <c r="E48" t="s">
        <v>89</v>
      </c>
      <c r="F48" t="s">
        <v>9</v>
      </c>
      <c r="G48" t="s">
        <v>23</v>
      </c>
    </row>
    <row r="49" spans="2:7" x14ac:dyDescent="0.25">
      <c r="B49" s="53" t="s">
        <v>197</v>
      </c>
      <c r="D49">
        <v>96</v>
      </c>
      <c r="E49" t="s">
        <v>123</v>
      </c>
      <c r="F49" t="s">
        <v>16</v>
      </c>
    </row>
    <row r="50" spans="2:7" x14ac:dyDescent="0.25">
      <c r="D50">
        <v>3</v>
      </c>
      <c r="E50" t="s">
        <v>31</v>
      </c>
      <c r="F50" t="s">
        <v>9</v>
      </c>
      <c r="G50" t="s">
        <v>20</v>
      </c>
    </row>
    <row r="51" spans="2:7" x14ac:dyDescent="0.25">
      <c r="D51">
        <v>64</v>
      </c>
      <c r="E51" t="s">
        <v>92</v>
      </c>
      <c r="F51" t="s">
        <v>9</v>
      </c>
      <c r="G51" t="s">
        <v>23</v>
      </c>
    </row>
    <row r="52" spans="2:7" x14ac:dyDescent="0.25">
      <c r="D52">
        <v>45</v>
      </c>
      <c r="E52" t="s">
        <v>73</v>
      </c>
      <c r="F52" t="s">
        <v>9</v>
      </c>
      <c r="G52" t="s">
        <v>23</v>
      </c>
    </row>
    <row r="53" spans="2:7" x14ac:dyDescent="0.25">
      <c r="D53">
        <v>67</v>
      </c>
      <c r="E53" t="s">
        <v>95</v>
      </c>
      <c r="F53" t="s">
        <v>9</v>
      </c>
      <c r="G53" t="s">
        <v>23</v>
      </c>
    </row>
    <row r="54" spans="2:7" x14ac:dyDescent="0.25">
      <c r="D54">
        <v>47</v>
      </c>
      <c r="E54" t="s">
        <v>75</v>
      </c>
      <c r="F54" t="s">
        <v>9</v>
      </c>
      <c r="G54" t="s">
        <v>23</v>
      </c>
    </row>
    <row r="55" spans="2:7" x14ac:dyDescent="0.25">
      <c r="D55">
        <v>77</v>
      </c>
      <c r="E55" t="s">
        <v>105</v>
      </c>
      <c r="F55" t="s">
        <v>9</v>
      </c>
      <c r="G55" t="s">
        <v>23</v>
      </c>
    </row>
    <row r="56" spans="2:7" x14ac:dyDescent="0.25">
      <c r="D56">
        <v>65</v>
      </c>
      <c r="E56" t="s">
        <v>93</v>
      </c>
      <c r="F56" t="s">
        <v>9</v>
      </c>
      <c r="G56" t="s">
        <v>23</v>
      </c>
    </row>
    <row r="57" spans="2:7" x14ac:dyDescent="0.25">
      <c r="D57">
        <v>94</v>
      </c>
      <c r="E57" t="s">
        <v>121</v>
      </c>
      <c r="F57" t="s">
        <v>16</v>
      </c>
      <c r="G57" t="s">
        <v>23</v>
      </c>
    </row>
    <row r="58" spans="2:7" x14ac:dyDescent="0.25">
      <c r="D58">
        <v>44</v>
      </c>
      <c r="E58" t="s">
        <v>72</v>
      </c>
      <c r="F58" t="s">
        <v>10</v>
      </c>
      <c r="G58" t="s">
        <v>23</v>
      </c>
    </row>
    <row r="59" spans="2:7" x14ac:dyDescent="0.25">
      <c r="D59">
        <v>69</v>
      </c>
      <c r="E59" t="s">
        <v>97</v>
      </c>
      <c r="F59" t="s">
        <v>9</v>
      </c>
      <c r="G59" t="s">
        <v>23</v>
      </c>
    </row>
    <row r="60" spans="2:7" x14ac:dyDescent="0.25">
      <c r="D60">
        <v>86</v>
      </c>
      <c r="E60" t="s">
        <v>114</v>
      </c>
      <c r="F60" t="s">
        <v>10</v>
      </c>
      <c r="G60" t="s">
        <v>23</v>
      </c>
    </row>
    <row r="61" spans="2:7" x14ac:dyDescent="0.25">
      <c r="D61">
        <v>29</v>
      </c>
      <c r="E61" t="s">
        <v>57</v>
      </c>
      <c r="F61" t="s">
        <v>10</v>
      </c>
      <c r="G61" t="s">
        <v>23</v>
      </c>
    </row>
    <row r="62" spans="2:7" x14ac:dyDescent="0.25">
      <c r="D62">
        <v>90</v>
      </c>
      <c r="E62" t="s">
        <v>117</v>
      </c>
      <c r="F62" t="s">
        <v>16</v>
      </c>
    </row>
    <row r="63" spans="2:7" x14ac:dyDescent="0.25">
      <c r="D63">
        <v>57</v>
      </c>
      <c r="E63" t="s">
        <v>85</v>
      </c>
      <c r="F63" t="s">
        <v>9</v>
      </c>
    </row>
    <row r="64" spans="2:7" x14ac:dyDescent="0.25">
      <c r="D64">
        <v>74</v>
      </c>
      <c r="E64" t="s">
        <v>102</v>
      </c>
      <c r="F64" t="s">
        <v>9</v>
      </c>
      <c r="G64" t="s">
        <v>23</v>
      </c>
    </row>
    <row r="65" spans="4:7" x14ac:dyDescent="0.25">
      <c r="D65">
        <v>27</v>
      </c>
      <c r="E65" t="s">
        <v>55</v>
      </c>
      <c r="F65" t="s">
        <v>10</v>
      </c>
      <c r="G65" t="s">
        <v>23</v>
      </c>
    </row>
    <row r="66" spans="4:7" x14ac:dyDescent="0.25">
      <c r="D66">
        <v>26</v>
      </c>
      <c r="E66" t="s">
        <v>54</v>
      </c>
      <c r="F66" t="s">
        <v>10</v>
      </c>
      <c r="G66" t="s">
        <v>23</v>
      </c>
    </row>
    <row r="67" spans="4:7" x14ac:dyDescent="0.25">
      <c r="D67">
        <v>25</v>
      </c>
      <c r="E67" t="s">
        <v>53</v>
      </c>
      <c r="F67" t="s">
        <v>10</v>
      </c>
      <c r="G67" t="s">
        <v>23</v>
      </c>
    </row>
    <row r="68" spans="4:7" x14ac:dyDescent="0.25">
      <c r="D68">
        <v>75</v>
      </c>
      <c r="E68" t="s">
        <v>103</v>
      </c>
      <c r="F68" t="s">
        <v>9</v>
      </c>
      <c r="G68" t="s">
        <v>23</v>
      </c>
    </row>
    <row r="69" spans="4:7" x14ac:dyDescent="0.25">
      <c r="D69">
        <v>8</v>
      </c>
      <c r="E69" t="s">
        <v>36</v>
      </c>
      <c r="F69" t="s">
        <v>10</v>
      </c>
    </row>
    <row r="70" spans="4:7" x14ac:dyDescent="0.25">
      <c r="D70">
        <v>89</v>
      </c>
      <c r="E70" t="s">
        <v>116</v>
      </c>
      <c r="F70" t="s">
        <v>16</v>
      </c>
      <c r="G70" t="s">
        <v>23</v>
      </c>
    </row>
    <row r="71" spans="4:7" x14ac:dyDescent="0.25">
      <c r="D71">
        <v>17</v>
      </c>
      <c r="E71" t="s">
        <v>45</v>
      </c>
      <c r="F71" t="s">
        <v>10</v>
      </c>
    </row>
    <row r="72" spans="4:7" x14ac:dyDescent="0.25">
      <c r="D72">
        <v>23</v>
      </c>
      <c r="E72" t="s">
        <v>51</v>
      </c>
      <c r="F72" t="s">
        <v>10</v>
      </c>
      <c r="G72" t="s">
        <v>23</v>
      </c>
    </row>
    <row r="73" spans="4:7" x14ac:dyDescent="0.25">
      <c r="D73">
        <v>1</v>
      </c>
      <c r="E73" t="s">
        <v>150</v>
      </c>
      <c r="F73" t="s">
        <v>9</v>
      </c>
      <c r="G73" t="s">
        <v>20</v>
      </c>
    </row>
    <row r="74" spans="4:7" x14ac:dyDescent="0.25">
      <c r="D74">
        <v>73</v>
      </c>
      <c r="E74" t="s">
        <v>101</v>
      </c>
      <c r="F74" t="s">
        <v>9</v>
      </c>
      <c r="G74" t="s">
        <v>23</v>
      </c>
    </row>
    <row r="75" spans="4:7" x14ac:dyDescent="0.25">
      <c r="D75">
        <v>76</v>
      </c>
      <c r="E75" t="s">
        <v>104</v>
      </c>
      <c r="F75" t="s">
        <v>9</v>
      </c>
      <c r="G75" t="s">
        <v>23</v>
      </c>
    </row>
    <row r="76" spans="4:7" x14ac:dyDescent="0.25">
      <c r="D76">
        <v>20</v>
      </c>
      <c r="E76" t="s">
        <v>48</v>
      </c>
      <c r="F76" t="s">
        <v>10</v>
      </c>
      <c r="G76" t="s">
        <v>23</v>
      </c>
    </row>
    <row r="77" spans="4:7" x14ac:dyDescent="0.25">
      <c r="D77">
        <v>31</v>
      </c>
      <c r="E77" t="s">
        <v>59</v>
      </c>
      <c r="F77" t="s">
        <v>10</v>
      </c>
      <c r="G77" t="s">
        <v>23</v>
      </c>
    </row>
    <row r="78" spans="4:7" x14ac:dyDescent="0.25">
      <c r="D78">
        <v>55</v>
      </c>
      <c r="E78" t="s">
        <v>83</v>
      </c>
      <c r="F78" t="s">
        <v>9</v>
      </c>
    </row>
    <row r="79" spans="4:7" x14ac:dyDescent="0.25">
      <c r="D79">
        <v>92</v>
      </c>
      <c r="E79" t="s">
        <v>119</v>
      </c>
      <c r="F79" t="s">
        <v>16</v>
      </c>
    </row>
    <row r="80" spans="4:7" x14ac:dyDescent="0.25">
      <c r="D80">
        <v>88</v>
      </c>
      <c r="E80" t="s">
        <v>198</v>
      </c>
      <c r="F80" t="s">
        <v>10</v>
      </c>
      <c r="G80" t="s">
        <v>23</v>
      </c>
    </row>
    <row r="81" spans="4:7" x14ac:dyDescent="0.25">
      <c r="D81">
        <v>87</v>
      </c>
      <c r="E81" t="s">
        <v>154</v>
      </c>
      <c r="F81" t="s">
        <v>10</v>
      </c>
      <c r="G81" t="s">
        <v>23</v>
      </c>
    </row>
    <row r="82" spans="4:7" x14ac:dyDescent="0.25">
      <c r="D82">
        <v>56</v>
      </c>
      <c r="E82" t="s">
        <v>84</v>
      </c>
      <c r="F82" t="s">
        <v>9</v>
      </c>
      <c r="G82" t="s">
        <v>23</v>
      </c>
    </row>
    <row r="83" spans="4:7" x14ac:dyDescent="0.25">
      <c r="D83">
        <v>16</v>
      </c>
      <c r="E83" t="s">
        <v>44</v>
      </c>
      <c r="F83" t="s">
        <v>10</v>
      </c>
      <c r="G83" t="s">
        <v>23</v>
      </c>
    </row>
    <row r="84" spans="4:7" x14ac:dyDescent="0.25">
      <c r="D84">
        <v>5</v>
      </c>
      <c r="E84" t="s">
        <v>33</v>
      </c>
      <c r="F84" t="s">
        <v>9</v>
      </c>
      <c r="G84" t="s">
        <v>20</v>
      </c>
    </row>
    <row r="85" spans="4:7" x14ac:dyDescent="0.25">
      <c r="D85">
        <v>78</v>
      </c>
      <c r="E85" t="s">
        <v>106</v>
      </c>
      <c r="F85" t="s">
        <v>9</v>
      </c>
      <c r="G85" t="s">
        <v>23</v>
      </c>
    </row>
    <row r="86" spans="4:7" x14ac:dyDescent="0.25">
      <c r="D86">
        <v>42</v>
      </c>
      <c r="E86" t="s">
        <v>70</v>
      </c>
      <c r="F86" t="s">
        <v>10</v>
      </c>
    </row>
    <row r="87" spans="4:7" x14ac:dyDescent="0.25">
      <c r="D87">
        <v>43</v>
      </c>
      <c r="E87" t="s">
        <v>71</v>
      </c>
      <c r="F87" t="s">
        <v>10</v>
      </c>
      <c r="G87" t="s">
        <v>23</v>
      </c>
    </row>
    <row r="88" spans="4:7" x14ac:dyDescent="0.25">
      <c r="D88">
        <v>9</v>
      </c>
      <c r="E88" t="s">
        <v>37</v>
      </c>
      <c r="F88" t="s">
        <v>11</v>
      </c>
    </row>
    <row r="89" spans="4:7" x14ac:dyDescent="0.25">
      <c r="D89">
        <v>24</v>
      </c>
      <c r="E89" t="s">
        <v>52</v>
      </c>
      <c r="F89" t="s">
        <v>10</v>
      </c>
      <c r="G89" t="s">
        <v>23</v>
      </c>
    </row>
    <row r="90" spans="4:7" x14ac:dyDescent="0.25">
      <c r="D90">
        <v>72</v>
      </c>
      <c r="E90" t="s">
        <v>100</v>
      </c>
      <c r="F90" t="s">
        <v>9</v>
      </c>
      <c r="G90" t="s">
        <v>23</v>
      </c>
    </row>
    <row r="91" spans="4:7" x14ac:dyDescent="0.25">
      <c r="D91">
        <v>71</v>
      </c>
      <c r="E91" t="s">
        <v>99</v>
      </c>
      <c r="F91" t="s">
        <v>9</v>
      </c>
      <c r="G91" t="s">
        <v>23</v>
      </c>
    </row>
    <row r="92" spans="4:7" x14ac:dyDescent="0.25">
      <c r="D92">
        <v>41</v>
      </c>
      <c r="E92" t="s">
        <v>69</v>
      </c>
      <c r="F92" t="s">
        <v>10</v>
      </c>
      <c r="G92" t="s">
        <v>23</v>
      </c>
    </row>
    <row r="93" spans="4:7" x14ac:dyDescent="0.25">
      <c r="D93">
        <v>10</v>
      </c>
      <c r="E93" t="s">
        <v>38</v>
      </c>
      <c r="F93" t="s">
        <v>12</v>
      </c>
    </row>
    <row r="94" spans="4:7" x14ac:dyDescent="0.25">
      <c r="D94">
        <v>70</v>
      </c>
      <c r="E94" t="s">
        <v>98</v>
      </c>
      <c r="F94" t="s">
        <v>9</v>
      </c>
      <c r="G94" t="s">
        <v>23</v>
      </c>
    </row>
    <row r="95" spans="4:7" x14ac:dyDescent="0.25">
      <c r="D95">
        <v>58</v>
      </c>
      <c r="E95" t="s">
        <v>141</v>
      </c>
      <c r="F95" t="s">
        <v>9</v>
      </c>
      <c r="G95" t="s">
        <v>23</v>
      </c>
    </row>
    <row r="96" spans="4:7" x14ac:dyDescent="0.25">
      <c r="D96">
        <v>59</v>
      </c>
      <c r="E96" t="s">
        <v>142</v>
      </c>
      <c r="F96" t="s">
        <v>9</v>
      </c>
      <c r="G96" t="s">
        <v>23</v>
      </c>
    </row>
    <row r="97" spans="4:7" x14ac:dyDescent="0.25">
      <c r="D97">
        <v>63</v>
      </c>
      <c r="E97" t="s">
        <v>91</v>
      </c>
      <c r="F97" t="s">
        <v>9</v>
      </c>
    </row>
    <row r="98" spans="4:7" x14ac:dyDescent="0.25">
      <c r="D98">
        <v>60</v>
      </c>
      <c r="E98" t="s">
        <v>88</v>
      </c>
      <c r="F98" t="s">
        <v>15</v>
      </c>
      <c r="G98" t="s">
        <v>23</v>
      </c>
    </row>
    <row r="99" spans="4:7" x14ac:dyDescent="0.25">
      <c r="D99">
        <v>40</v>
      </c>
      <c r="E99" t="s">
        <v>68</v>
      </c>
      <c r="F99" t="s">
        <v>10</v>
      </c>
      <c r="G99" t="s">
        <v>23</v>
      </c>
    </row>
    <row r="100" spans="4:7" x14ac:dyDescent="0.25">
      <c r="D100">
        <v>49</v>
      </c>
      <c r="E100" t="s">
        <v>77</v>
      </c>
      <c r="F100" t="s">
        <v>9</v>
      </c>
    </row>
  </sheetData>
  <sortState ref="D4:G100">
    <sortCondition ref="E6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HomePage">
    <tabColor rgb="FF92D050"/>
    <pageSetUpPr fitToPage="1"/>
  </sheetPr>
  <dimension ref="A1:O28"/>
  <sheetViews>
    <sheetView workbookViewId="0">
      <selection activeCell="B2" sqref="B2"/>
    </sheetView>
  </sheetViews>
  <sheetFormatPr defaultColWidth="8.7109375" defaultRowHeight="15" x14ac:dyDescent="0.25"/>
  <cols>
    <col min="1" max="1" customWidth="true" width="3.0" collapsed="true"/>
    <col min="2" max="2" customWidth="true" width="2.7109375" collapsed="true"/>
    <col min="3" max="6" customWidth="true" width="8.7109375" collapsed="true"/>
    <col min="7" max="7" customWidth="true" width="25.7109375" collapsed="true"/>
    <col min="8" max="8" customWidth="true" width="9.28515625" collapsed="true"/>
    <col min="9" max="14" customWidth="true" width="8.7109375" collapsed="true"/>
    <col min="15" max="15" customWidth="true" width="2.7109375" collapsed="true"/>
  </cols>
  <sheetData>
    <row r="1" spans="1:15" ht="6" customHeight="1" thickBot="1" x14ac:dyDescent="0.3">
      <c r="A1" s="1"/>
    </row>
    <row r="2" spans="1:15" ht="34.5" thickBot="1" x14ac:dyDescent="0.55000000000000004">
      <c r="A2" s="1"/>
      <c r="B2" s="69" t="s">
        <v>199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</row>
    <row r="3" spans="1:15" ht="6" customHeight="1" x14ac:dyDescent="0.25">
      <c r="A3" s="1"/>
      <c r="B3" s="125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7"/>
    </row>
    <row r="4" spans="1:15" x14ac:dyDescent="0.25">
      <c r="A4" s="1"/>
      <c r="B4" s="125"/>
      <c r="C4" s="128" t="s">
        <v>200</v>
      </c>
      <c r="D4" s="128"/>
      <c r="E4" s="128"/>
      <c r="F4" s="128"/>
      <c r="G4" s="129"/>
      <c r="H4" s="129"/>
      <c r="I4" s="129"/>
      <c r="J4" s="129"/>
      <c r="K4" s="129"/>
      <c r="L4" s="126"/>
      <c r="M4" s="126"/>
      <c r="N4" s="126"/>
      <c r="O4" s="127"/>
    </row>
    <row r="5" spans="1:15" ht="26.25" x14ac:dyDescent="0.25">
      <c r="A5" s="1"/>
      <c r="B5" s="125"/>
      <c r="C5" s="130" t="s">
        <v>201</v>
      </c>
      <c r="D5" s="126"/>
      <c r="E5" s="126"/>
      <c r="F5" s="126"/>
      <c r="G5" s="131"/>
      <c r="H5" s="126"/>
      <c r="I5" s="126"/>
      <c r="J5" s="126"/>
      <c r="K5" s="126"/>
      <c r="L5" s="126"/>
      <c r="M5" s="126"/>
      <c r="N5" s="126"/>
      <c r="O5" s="127"/>
    </row>
    <row r="6" spans="1:15" ht="24" customHeight="1" x14ac:dyDescent="0.3">
      <c r="A6" s="1"/>
      <c r="B6" s="125"/>
      <c r="C6" s="117" t="s">
        <v>150</v>
      </c>
      <c r="D6" s="118"/>
      <c r="E6" s="119"/>
      <c r="F6" s="120"/>
      <c r="G6" s="119" t="s">
        <v>591</v>
      </c>
      <c r="H6" s="119"/>
      <c r="I6" s="119"/>
      <c r="J6" s="119"/>
      <c r="K6" s="121"/>
      <c r="L6" s="121"/>
      <c r="M6" s="121"/>
      <c r="N6" s="122"/>
      <c r="O6" s="127"/>
    </row>
    <row r="7" spans="1:15" ht="24" customHeight="1" x14ac:dyDescent="0.3">
      <c r="A7" s="1"/>
      <c r="B7" s="125"/>
      <c r="C7" s="117" t="s">
        <v>441</v>
      </c>
      <c r="D7" s="118"/>
      <c r="E7" s="119"/>
      <c r="F7" s="120"/>
      <c r="G7" s="119" t="s">
        <v>581</v>
      </c>
      <c r="H7" s="119"/>
      <c r="I7" s="119"/>
      <c r="J7" s="119"/>
      <c r="K7" s="121"/>
      <c r="L7" s="121"/>
      <c r="M7" s="121"/>
      <c r="N7" s="122"/>
      <c r="O7" s="127"/>
    </row>
    <row r="8" spans="1:15" ht="24" customHeight="1" x14ac:dyDescent="0.3">
      <c r="A8" s="1"/>
      <c r="B8" s="125"/>
      <c r="C8" s="117" t="s">
        <v>442</v>
      </c>
      <c r="D8" s="118"/>
      <c r="E8" s="119"/>
      <c r="F8" s="120"/>
      <c r="G8" s="119" t="s">
        <v>592</v>
      </c>
      <c r="H8" s="119"/>
      <c r="I8" s="119"/>
      <c r="J8" s="119"/>
      <c r="K8" s="121"/>
      <c r="L8" s="121"/>
      <c r="M8" s="121"/>
      <c r="N8" s="122"/>
      <c r="O8" s="127"/>
    </row>
    <row r="9" spans="1:15" ht="24" customHeight="1" x14ac:dyDescent="0.3">
      <c r="A9" s="1"/>
      <c r="B9" s="125"/>
      <c r="C9" s="117" t="s">
        <v>443</v>
      </c>
      <c r="D9" s="118"/>
      <c r="E9" s="119"/>
      <c r="F9" s="120"/>
      <c r="G9" s="119" t="s">
        <v>593</v>
      </c>
      <c r="H9" s="119"/>
      <c r="I9" s="119"/>
      <c r="J9" s="119"/>
      <c r="K9" s="121"/>
      <c r="L9" s="121"/>
      <c r="M9" s="121"/>
      <c r="N9" s="122"/>
      <c r="O9" s="127"/>
    </row>
    <row r="10" spans="1:15" ht="24" customHeight="1" x14ac:dyDescent="0.3">
      <c r="A10" s="1"/>
      <c r="B10" s="125"/>
      <c r="C10" s="117" t="s">
        <v>444</v>
      </c>
      <c r="D10" s="118"/>
      <c r="E10" s="119"/>
      <c r="F10" s="120"/>
      <c r="G10" s="119" t="s">
        <v>583</v>
      </c>
      <c r="H10" s="119"/>
      <c r="I10" s="119"/>
      <c r="J10" s="119"/>
      <c r="K10" s="121"/>
      <c r="L10" s="121"/>
      <c r="M10" s="121"/>
      <c r="N10" s="122"/>
      <c r="O10" s="127"/>
    </row>
    <row r="11" spans="1:15" ht="24" customHeight="1" x14ac:dyDescent="0.3">
      <c r="A11" s="1"/>
      <c r="B11" s="125"/>
      <c r="C11" s="117" t="s">
        <v>149</v>
      </c>
      <c r="D11" s="118"/>
      <c r="E11" s="119"/>
      <c r="F11" s="120"/>
      <c r="G11" s="119"/>
      <c r="H11" s="119"/>
      <c r="I11" s="119"/>
      <c r="J11" s="119"/>
      <c r="K11" s="121"/>
      <c r="L11" s="121"/>
      <c r="M11" s="121"/>
      <c r="N11" s="122"/>
      <c r="O11" s="127"/>
    </row>
    <row r="12" spans="1:15" ht="24" customHeight="1" thickBot="1" x14ac:dyDescent="0.3">
      <c r="A12" s="1"/>
      <c r="B12" s="125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7"/>
    </row>
    <row r="13" spans="1:15" ht="15.75" customHeight="1" thickBot="1" x14ac:dyDescent="0.3">
      <c r="A13" s="1"/>
      <c r="B13" s="125"/>
      <c r="C13" s="126"/>
      <c r="D13" s="126"/>
      <c r="E13" s="138" t="s">
        <v>202</v>
      </c>
      <c r="F13" s="139"/>
      <c r="G13" s="139"/>
      <c r="H13" s="139"/>
      <c r="I13" s="139"/>
      <c r="J13" s="139"/>
      <c r="K13" s="140"/>
      <c r="L13" s="144" t="s">
        <v>125</v>
      </c>
      <c r="M13" s="145"/>
      <c r="N13" s="126"/>
      <c r="O13" s="127"/>
    </row>
    <row r="14" spans="1:15" ht="16.5" customHeight="1" thickTop="1" thickBot="1" x14ac:dyDescent="0.3">
      <c r="A14" s="1"/>
      <c r="B14" s="125"/>
      <c r="C14" s="3"/>
      <c r="D14" s="4"/>
      <c r="E14" s="141"/>
      <c r="F14" s="142"/>
      <c r="G14" s="142"/>
      <c r="H14" s="142"/>
      <c r="I14" s="142"/>
      <c r="J14" s="142"/>
      <c r="K14" s="143"/>
      <c r="L14" s="146"/>
      <c r="M14" s="147"/>
      <c r="N14" s="4"/>
      <c r="O14" s="127"/>
    </row>
    <row r="15" spans="1:15" ht="15.75" thickBot="1" x14ac:dyDescent="0.3">
      <c r="A15" s="1"/>
      <c r="B15" s="125"/>
      <c r="C15" s="5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7"/>
    </row>
    <row r="16" spans="1:15" ht="30" customHeight="1" thickBot="1" x14ac:dyDescent="0.3">
      <c r="A16" s="1"/>
      <c r="B16" s="125"/>
      <c r="C16" s="5"/>
      <c r="D16" s="126"/>
      <c r="E16" s="132" t="s">
        <v>203</v>
      </c>
      <c r="F16" s="133"/>
      <c r="G16" s="68" t="s">
        <v>127</v>
      </c>
      <c r="H16" s="126"/>
      <c r="I16" s="126"/>
      <c r="J16" s="126"/>
      <c r="K16" s="126"/>
      <c r="L16" s="126"/>
      <c r="M16" s="126"/>
      <c r="N16" s="126"/>
      <c r="O16" s="127"/>
    </row>
    <row r="17" spans="1:15" x14ac:dyDescent="0.25">
      <c r="A17" s="1"/>
      <c r="B17" s="125"/>
      <c r="C17" s="5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7"/>
    </row>
    <row r="18" spans="1:15" ht="18.75" x14ac:dyDescent="0.25">
      <c r="A18" s="1"/>
      <c r="B18" s="125"/>
      <c r="C18" s="5"/>
      <c r="D18" s="126"/>
      <c r="E18" s="132" t="s">
        <v>204</v>
      </c>
      <c r="F18" s="126"/>
      <c r="G18" s="126"/>
      <c r="H18" s="126"/>
      <c r="I18" s="126"/>
      <c r="J18" s="126"/>
      <c r="K18" s="126"/>
      <c r="L18" s="126"/>
      <c r="M18" s="126"/>
      <c r="N18" s="126"/>
      <c r="O18" s="127"/>
    </row>
    <row r="19" spans="1:15" ht="15.75" thickBot="1" x14ac:dyDescent="0.3">
      <c r="A19" s="1"/>
      <c r="B19" s="125"/>
      <c r="C19" s="5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7"/>
    </row>
    <row r="20" spans="1:15" ht="15.75" customHeight="1" thickBot="1" x14ac:dyDescent="0.3">
      <c r="A20" s="1"/>
      <c r="B20" s="125"/>
      <c r="C20" s="6"/>
      <c r="D20" s="2"/>
      <c r="E20" s="138" t="s">
        <v>205</v>
      </c>
      <c r="F20" s="139"/>
      <c r="G20" s="139"/>
      <c r="H20" s="139"/>
      <c r="I20" s="139"/>
      <c r="J20" s="139"/>
      <c r="K20" s="139"/>
      <c r="L20" s="139"/>
      <c r="M20" s="140"/>
      <c r="N20" s="2"/>
      <c r="O20" s="127"/>
    </row>
    <row r="21" spans="1:15" ht="16.5" thickTop="1" thickBot="1" x14ac:dyDescent="0.3">
      <c r="A21" s="1"/>
      <c r="B21" s="125"/>
      <c r="C21" s="126"/>
      <c r="D21" s="126"/>
      <c r="E21" s="141"/>
      <c r="F21" s="142"/>
      <c r="G21" s="142"/>
      <c r="H21" s="142"/>
      <c r="I21" s="142"/>
      <c r="J21" s="142"/>
      <c r="K21" s="142"/>
      <c r="L21" s="142"/>
      <c r="M21" s="143"/>
      <c r="N21" s="126"/>
      <c r="O21" s="127"/>
    </row>
    <row r="22" spans="1:15" x14ac:dyDescent="0.25">
      <c r="A22" s="1"/>
      <c r="B22" s="125"/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7"/>
    </row>
    <row r="23" spans="1:15" ht="15" customHeight="1" thickBot="1" x14ac:dyDescent="0.3">
      <c r="A23" s="1"/>
      <c r="B23" s="134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6"/>
    </row>
    <row r="24" spans="1:15" ht="15.75" customHeight="1" x14ac:dyDescent="0.25">
      <c r="A24" s="1"/>
      <c r="B24" s="126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</row>
    <row r="25" spans="1:15" ht="15" customHeight="1" x14ac:dyDescent="0.25">
      <c r="A25" s="1"/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</row>
    <row r="26" spans="1:15" ht="23.25" customHeight="1" x14ac:dyDescent="0.25">
      <c r="A26" s="1"/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</row>
    <row r="27" spans="1:15" ht="25.5" customHeight="1" x14ac:dyDescent="0.25">
      <c r="A27" s="1"/>
      <c r="B27" s="126"/>
      <c r="C27" s="126"/>
      <c r="D27" s="126"/>
      <c r="E27" s="126"/>
      <c r="F27" s="126"/>
      <c r="G27" s="137"/>
      <c r="H27" s="137"/>
      <c r="I27" s="126"/>
      <c r="J27" s="126"/>
      <c r="K27" s="126"/>
      <c r="L27" s="126"/>
      <c r="M27" s="126"/>
      <c r="N27" s="126"/>
      <c r="O27" s="126"/>
    </row>
    <row r="28" spans="1:15" ht="13.5" customHeight="1" x14ac:dyDescent="0.25">
      <c r="A28" s="1"/>
      <c r="D28" s="8"/>
      <c r="G28" s="7"/>
    </row>
  </sheetData>
  <customSheetViews>
    <customSheetView guid="{EFAF1278-2BB4-487F-A381-983E6F72163A}" showPageBreaks="1" showGridLines="0" printArea="1" hiddenColumns="1" topLeftCell="B1">
      <selection activeCell="J5" sqref="J5"/>
      <pageMargins left="0" right="0" top="0" bottom="0" header="0" footer="0"/>
      <pageSetup paperSize="9" scale="50" orientation="landscape" r:id="rId1"/>
    </customSheetView>
    <customSheetView guid="{33876330-D4CE-4DD3-A5B9-91A882722FCE}" scale="90" showGridLines="0" showRowCol="0" hiddenColumns="1">
      <pageMargins left="0" right="0" top="0" bottom="0" header="0" footer="0"/>
      <pageSetup paperSize="9" scale="50" orientation="landscape" r:id="rId2"/>
    </customSheetView>
  </customSheetViews>
  <mergeCells count="3">
    <mergeCell ref="E13:K14"/>
    <mergeCell ref="L13:M14"/>
    <mergeCell ref="E20:M21"/>
  </mergeCells>
  <dataValidations count="1">
    <dataValidation type="list" allowBlank="1" showInputMessage="1" showErrorMessage="1" sqref="G16">
      <formula1>dlRoles</formula1>
    </dataValidation>
  </dataValidations>
  <pageMargins left="0.70866141732283472" right="0.70866141732283472" top="0.74803149606299213" bottom="0.74803149606299213" header="0.31496062992125984" footer="0.31496062992125984"/>
  <pageSetup paperSize="9" scale="66" orientation="landscape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MainSheet">
    <pageSetUpPr fitToPage="1"/>
  </sheetPr>
  <dimension ref="A1:CX6"/>
  <sheetViews>
    <sheetView topLeftCell="AN2" zoomScale="90" zoomScaleNormal="90" workbookViewId="0">
      <selection activeCell="AX5" sqref="AX5"/>
    </sheetView>
  </sheetViews>
  <sheetFormatPr defaultColWidth="9.28515625" defaultRowHeight="15" x14ac:dyDescent="0.25"/>
  <cols>
    <col min="1" max="1" customWidth="true" width="1.7109375" collapsed="true"/>
    <col min="2" max="2" customWidth="true" width="20.42578125" collapsed="true"/>
    <col min="3" max="3" customWidth="true" width="16.42578125" collapsed="true"/>
    <col min="4" max="4" customWidth="true" width="9.28515625" collapsed="true"/>
    <col min="5" max="6" customWidth="true" width="13.28515625" collapsed="true"/>
    <col min="7" max="7" customWidth="true" width="9.7109375" collapsed="true"/>
    <col min="8" max="8" customWidth="true" width="16.85546875" collapsed="true"/>
    <col min="9" max="9" customWidth="true" width="9.7109375" collapsed="true"/>
    <col min="10" max="11" customWidth="true" width="13.28515625" collapsed="true"/>
    <col min="12" max="12" customWidth="true" width="16.85546875" collapsed="true"/>
    <col min="13" max="14" customWidth="true" width="13.28515625" collapsed="true"/>
    <col min="15" max="17" customWidth="true" width="35.7109375" collapsed="true"/>
    <col min="18" max="19" customWidth="true" width="11.7109375" collapsed="true"/>
    <col min="20" max="21" customWidth="true" width="11.0" collapsed="true"/>
    <col min="22" max="22" customWidth="true" width="12.42578125" collapsed="true"/>
    <col min="23" max="23" customWidth="true" width="12.28515625" collapsed="true"/>
    <col min="24" max="24" customWidth="true" width="11.7109375" collapsed="true"/>
    <col min="25" max="25" customWidth="true" width="36.0" collapsed="true"/>
    <col min="26" max="26" customWidth="true" width="9.7109375" collapsed="true"/>
    <col min="27" max="27" customWidth="true" width="19.0" collapsed="true"/>
    <col min="28" max="31" customWidth="true" width="12.28515625" collapsed="true"/>
    <col min="32" max="33" customWidth="true" width="16.7109375" collapsed="true"/>
    <col min="34" max="34" customWidth="true" width="19.0" collapsed="true"/>
    <col min="35" max="35" customWidth="true" width="13.42578125" collapsed="true"/>
    <col min="36" max="37" customWidth="true" width="9.42578125" collapsed="true"/>
    <col min="38" max="38" customWidth="true" width="13.42578125" collapsed="true"/>
    <col min="39" max="39" customWidth="true" width="15.42578125" collapsed="true"/>
    <col min="40" max="40" customWidth="true" width="14.28515625" collapsed="true"/>
    <col min="41" max="41" customWidth="true" style="27" width="15.42578125" collapsed="true"/>
    <col min="42" max="43" customWidth="true" width="9.42578125" collapsed="true"/>
    <col min="44" max="44" customWidth="true" width="19.28515625" collapsed="true"/>
    <col min="45" max="48" customWidth="true" width="9.42578125" collapsed="true"/>
    <col min="49" max="50" customWidth="true" width="16.28515625" collapsed="true"/>
    <col min="51" max="51" customWidth="true" width="9.42578125" collapsed="true"/>
    <col min="52" max="52" customWidth="true" width="15.0" collapsed="true"/>
    <col min="53" max="53" customWidth="true" width="30.0" collapsed="true"/>
    <col min="54" max="54" customWidth="true" width="13.42578125" collapsed="true"/>
    <col min="55" max="55" customWidth="true" hidden="true" width="26.7109375" collapsed="true"/>
    <col min="56" max="58" customWidth="true" width="13.42578125" collapsed="true"/>
    <col min="59" max="59" customWidth="true" width="12.28515625" collapsed="true"/>
    <col min="60" max="62" customWidth="true" width="12.7109375" collapsed="true"/>
    <col min="63" max="63" customWidth="true" style="94" width="23.42578125" collapsed="true"/>
    <col min="64" max="65" customWidth="true" width="10.7109375" collapsed="true"/>
    <col min="66" max="66" customWidth="true" width="17.42578125" collapsed="true"/>
    <col min="67" max="68" customWidth="true" width="9.0" collapsed="true"/>
    <col min="69" max="70" customWidth="true" width="10.42578125" collapsed="true"/>
    <col min="71" max="71" customWidth="true" width="25.0" collapsed="true"/>
    <col min="72" max="72" customWidth="true" width="11.28515625" collapsed="true"/>
    <col min="73" max="73" customWidth="true" width="12.7109375" collapsed="true"/>
    <col min="74" max="74" customWidth="true" width="26.7109375" collapsed="true"/>
    <col min="75" max="77" customWidth="true" width="9.28515625" collapsed="true"/>
    <col min="78" max="78" customWidth="true" style="101" width="16.28515625" collapsed="true"/>
    <col min="79" max="79" customWidth="true" width="11.42578125" collapsed="true"/>
    <col min="80" max="80" customWidth="true" width="18.5703125" collapsed="true"/>
    <col min="81" max="87" customWidth="true" width="9.28515625" collapsed="true"/>
    <col min="88" max="88" customWidth="true" width="13.28515625" collapsed="true"/>
    <col min="89" max="92" customWidth="true" width="9.28515625" collapsed="true"/>
    <col min="93" max="93" customWidth="true" width="11.28515625" collapsed="true"/>
    <col min="94" max="94" customWidth="true" width="16.42578125" collapsed="true"/>
    <col min="95" max="102" customWidth="true" width="9.28515625" collapsed="true"/>
  </cols>
  <sheetData>
    <row r="1" spans="1:102" ht="18.75" hidden="1" customHeight="1" x14ac:dyDescent="0.3">
      <c r="A1" s="86"/>
      <c r="B1" s="44" t="str">
        <f>dseCurrentView&amp;" View"</f>
        <v>All PAL Columns View</v>
      </c>
      <c r="C1" s="85"/>
      <c r="D1" s="85"/>
      <c r="G1" s="44"/>
      <c r="I1" s="44"/>
      <c r="J1" s="44"/>
      <c r="K1" s="44"/>
      <c r="P1" s="45" t="s">
        <v>151</v>
      </c>
      <c r="Q1" s="45"/>
      <c r="BK1" s="90"/>
      <c r="BV1" s="36"/>
      <c r="BW1" s="36"/>
      <c r="BX1" s="36"/>
      <c r="BZ1" s="97"/>
      <c r="CA1" s="36"/>
      <c r="CB1" s="36"/>
    </row>
    <row r="2" spans="1:102" ht="37.5" customHeight="1" x14ac:dyDescent="0.55000000000000004">
      <c r="A2" s="38"/>
      <c r="B2" s="35" t="s">
        <v>206</v>
      </c>
      <c r="C2" s="87"/>
      <c r="D2" s="87"/>
      <c r="E2" s="46"/>
      <c r="F2" s="46"/>
      <c r="G2" s="148" t="s">
        <v>591</v>
      </c>
      <c r="H2" s="148"/>
      <c r="I2" s="148"/>
      <c r="J2" s="123"/>
      <c r="K2" s="149"/>
      <c r="L2" s="149"/>
      <c r="M2" s="149"/>
      <c r="N2" s="149"/>
      <c r="O2" s="38"/>
      <c r="P2" s="38"/>
      <c r="Q2" s="38"/>
      <c r="R2" s="38"/>
      <c r="S2" s="38"/>
      <c r="T2" s="38"/>
      <c r="U2" s="38"/>
      <c r="V2" s="38"/>
      <c r="W2" s="38"/>
      <c r="X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82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91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7"/>
      <c r="BU2" s="37"/>
      <c r="BV2" s="37"/>
      <c r="BX2" s="98"/>
      <c r="BY2" s="37"/>
      <c r="BZ2" s="37"/>
    </row>
    <row r="3" spans="1:102" s="50" customFormat="1" ht="18.75" customHeight="1" x14ac:dyDescent="0.25">
      <c r="A3" s="78"/>
      <c r="B3" s="78"/>
      <c r="C3" s="88"/>
      <c r="D3" s="8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84"/>
      <c r="AP3" s="78"/>
      <c r="AQ3" s="78"/>
      <c r="AR3" s="78"/>
      <c r="AS3" s="78"/>
      <c r="AT3" s="78"/>
      <c r="AU3" s="78"/>
      <c r="AV3" s="78"/>
      <c r="AW3" s="78"/>
      <c r="AX3" s="78"/>
      <c r="AY3" s="78"/>
      <c r="AZ3" s="78"/>
      <c r="BA3" s="78"/>
      <c r="BB3" s="78"/>
      <c r="BC3" s="78"/>
      <c r="BD3" s="78"/>
      <c r="BE3" s="78"/>
      <c r="BF3" s="78"/>
      <c r="BG3" s="78"/>
      <c r="BH3" s="78"/>
      <c r="BI3" s="78"/>
      <c r="BJ3" s="78"/>
      <c r="BK3" s="92"/>
      <c r="BL3" s="78"/>
      <c r="BM3" s="78"/>
      <c r="BN3" s="78"/>
      <c r="BO3" s="78"/>
      <c r="BP3" s="78"/>
      <c r="BQ3" s="78"/>
      <c r="BR3" s="78"/>
      <c r="BS3" s="78"/>
      <c r="BT3" s="78"/>
      <c r="BU3" s="78"/>
      <c r="BV3" s="78"/>
      <c r="BW3" s="78"/>
      <c r="BX3" s="78"/>
      <c r="BY3" s="78"/>
      <c r="BZ3" s="99"/>
      <c r="CA3" s="78"/>
      <c r="CB3" s="78"/>
      <c r="CC3" s="78"/>
      <c r="CD3" s="78"/>
      <c r="CE3" s="78"/>
      <c r="CF3" s="78"/>
      <c r="CG3" s="78"/>
      <c r="CH3" s="78"/>
      <c r="CI3" s="78"/>
      <c r="CJ3" s="78"/>
      <c r="CK3" s="78"/>
      <c r="CL3" s="78"/>
      <c r="CM3" s="78"/>
      <c r="CN3" s="78"/>
      <c r="CO3" s="78"/>
      <c r="CP3" s="78"/>
      <c r="CQ3" s="78"/>
      <c r="CR3" s="78"/>
      <c r="CS3" s="78"/>
      <c r="CT3" s="78"/>
      <c r="CU3" s="78"/>
      <c r="CV3" s="78"/>
      <c r="CW3" s="78"/>
      <c r="CX3" s="78"/>
    </row>
    <row r="4" spans="1:102" ht="18" x14ac:dyDescent="0.25">
      <c r="A4" s="28"/>
      <c r="B4" s="80" t="s">
        <v>8</v>
      </c>
      <c r="C4" s="89" t="s">
        <v>9</v>
      </c>
      <c r="D4" s="89" t="s">
        <v>9</v>
      </c>
      <c r="E4" s="64" t="s">
        <v>9</v>
      </c>
      <c r="F4" s="64" t="s">
        <v>9</v>
      </c>
      <c r="G4" s="66" t="s">
        <v>8</v>
      </c>
      <c r="H4" s="62" t="s">
        <v>10</v>
      </c>
      <c r="I4" s="66" t="s">
        <v>8</v>
      </c>
      <c r="J4" s="63" t="s">
        <v>16</v>
      </c>
      <c r="K4" s="64" t="s">
        <v>9</v>
      </c>
      <c r="L4" s="62" t="s">
        <v>10</v>
      </c>
      <c r="M4" s="63" t="s">
        <v>11</v>
      </c>
      <c r="N4" s="75" t="s">
        <v>12</v>
      </c>
      <c r="O4" s="62" t="s">
        <v>10</v>
      </c>
      <c r="P4" s="62" t="s">
        <v>10</v>
      </c>
      <c r="Q4" s="62" t="s">
        <v>10</v>
      </c>
      <c r="R4" s="62" t="s">
        <v>10</v>
      </c>
      <c r="S4" s="62" t="s">
        <v>10</v>
      </c>
      <c r="T4" s="62" t="s">
        <v>10</v>
      </c>
      <c r="U4" s="62" t="s">
        <v>10</v>
      </c>
      <c r="V4" s="66" t="s">
        <v>8</v>
      </c>
      <c r="W4" s="62" t="s">
        <v>10</v>
      </c>
      <c r="X4" s="62" t="s">
        <v>10</v>
      </c>
      <c r="Y4" s="62" t="s">
        <v>10</v>
      </c>
      <c r="Z4" s="62" t="s">
        <v>10</v>
      </c>
      <c r="AA4" s="62" t="s">
        <v>10</v>
      </c>
      <c r="AB4" s="62" t="s">
        <v>10</v>
      </c>
      <c r="AC4" s="62" t="s">
        <v>10</v>
      </c>
      <c r="AD4" s="62" t="s">
        <v>10</v>
      </c>
      <c r="AE4" s="62" t="s">
        <v>10</v>
      </c>
      <c r="AF4" s="62" t="s">
        <v>10</v>
      </c>
      <c r="AG4" s="62" t="s">
        <v>10</v>
      </c>
      <c r="AH4" s="62" t="s">
        <v>10</v>
      </c>
      <c r="AI4" s="62" t="s">
        <v>10</v>
      </c>
      <c r="AJ4" s="62" t="s">
        <v>10</v>
      </c>
      <c r="AK4" s="62" t="s">
        <v>10</v>
      </c>
      <c r="AL4" s="83" t="s">
        <v>207</v>
      </c>
      <c r="AM4" s="83" t="s">
        <v>207</v>
      </c>
      <c r="AN4" s="83" t="s">
        <v>207</v>
      </c>
      <c r="AO4" s="62" t="s">
        <v>10</v>
      </c>
      <c r="AP4" s="62" t="s">
        <v>10</v>
      </c>
      <c r="AQ4" s="62" t="s">
        <v>10</v>
      </c>
      <c r="AR4" s="62" t="s">
        <v>10</v>
      </c>
      <c r="AS4" s="62" t="s">
        <v>10</v>
      </c>
      <c r="AT4" s="62" t="s">
        <v>10</v>
      </c>
      <c r="AU4" s="64" t="s">
        <v>9</v>
      </c>
      <c r="AV4" s="124" t="s">
        <v>135</v>
      </c>
      <c r="AW4" s="76" t="s">
        <v>14</v>
      </c>
      <c r="AX4" s="76" t="s">
        <v>14</v>
      </c>
      <c r="AY4" s="64" t="s">
        <v>9</v>
      </c>
      <c r="AZ4" s="64" t="s">
        <v>9</v>
      </c>
      <c r="BA4" s="64" t="s">
        <v>9</v>
      </c>
      <c r="BB4" s="64" t="s">
        <v>9</v>
      </c>
      <c r="BC4" s="64" t="s">
        <v>9</v>
      </c>
      <c r="BD4" s="64" t="s">
        <v>9</v>
      </c>
      <c r="BE4" s="64" t="s">
        <v>9</v>
      </c>
      <c r="BF4" s="64" t="s">
        <v>9</v>
      </c>
      <c r="BG4" s="64" t="s">
        <v>9</v>
      </c>
      <c r="BH4" s="64" t="s">
        <v>9</v>
      </c>
      <c r="BI4" s="64" t="s">
        <v>9</v>
      </c>
      <c r="BJ4" s="64" t="s">
        <v>15</v>
      </c>
      <c r="BK4" s="93" t="s">
        <v>9</v>
      </c>
      <c r="BL4" s="64" t="s">
        <v>208</v>
      </c>
      <c r="BM4" s="64" t="s">
        <v>9</v>
      </c>
      <c r="BN4" s="64" t="s">
        <v>9</v>
      </c>
      <c r="BO4" s="64" t="s">
        <v>9</v>
      </c>
      <c r="BP4" s="64" t="s">
        <v>9</v>
      </c>
      <c r="BQ4" s="64" t="s">
        <v>9</v>
      </c>
      <c r="BR4" s="64" t="s">
        <v>9</v>
      </c>
      <c r="BS4" s="64" t="s">
        <v>9</v>
      </c>
      <c r="BT4" s="64" t="s">
        <v>9</v>
      </c>
      <c r="BU4" s="64" t="s">
        <v>9</v>
      </c>
      <c r="BV4" s="64" t="s">
        <v>9</v>
      </c>
      <c r="BW4" s="64" t="s">
        <v>9</v>
      </c>
      <c r="BX4" s="64" t="s">
        <v>9</v>
      </c>
      <c r="BY4" s="64" t="s">
        <v>9</v>
      </c>
      <c r="BZ4" s="100" t="s">
        <v>9</v>
      </c>
      <c r="CA4" s="64" t="s">
        <v>9</v>
      </c>
      <c r="CB4" s="64" t="s">
        <v>9</v>
      </c>
      <c r="CC4" s="64" t="s">
        <v>9</v>
      </c>
      <c r="CD4" s="64" t="s">
        <v>9</v>
      </c>
      <c r="CE4" s="64" t="s">
        <v>9</v>
      </c>
      <c r="CF4" s="64" t="s">
        <v>9</v>
      </c>
      <c r="CG4" s="62" t="s">
        <v>10</v>
      </c>
      <c r="CH4" s="62" t="s">
        <v>10</v>
      </c>
      <c r="CI4" s="62" t="s">
        <v>10</v>
      </c>
      <c r="CJ4" s="62" t="s">
        <v>10</v>
      </c>
      <c r="CK4" s="62" t="s">
        <v>10</v>
      </c>
      <c r="CL4" s="62" t="s">
        <v>10</v>
      </c>
      <c r="CM4" s="62" t="s">
        <v>10</v>
      </c>
      <c r="CN4" s="62" t="s">
        <v>10</v>
      </c>
      <c r="CO4" s="67" t="s">
        <v>16</v>
      </c>
      <c r="CP4" s="67" t="s">
        <v>16</v>
      </c>
      <c r="CQ4" s="67" t="s">
        <v>16</v>
      </c>
      <c r="CR4" s="67" t="s">
        <v>16</v>
      </c>
      <c r="CS4" s="67" t="s">
        <v>16</v>
      </c>
      <c r="CT4" s="67" t="s">
        <v>16</v>
      </c>
      <c r="CU4" s="67" t="s">
        <v>16</v>
      </c>
      <c r="CV4" s="67" t="s">
        <v>16</v>
      </c>
      <c r="CW4" s="62" t="s">
        <v>10</v>
      </c>
      <c r="CX4" s="62" t="s">
        <v>10</v>
      </c>
    </row>
    <row r="5" spans="1:102" s="40" customFormat="1" ht="72" x14ac:dyDescent="0.2">
      <c r="B5" s="102" t="s">
        <v>209</v>
      </c>
      <c r="C5" s="103" t="s">
        <v>455</v>
      </c>
      <c r="D5" s="103" t="s">
        <v>31</v>
      </c>
      <c r="E5" s="104" t="s">
        <v>561</v>
      </c>
      <c r="F5" s="104" t="s">
        <v>32</v>
      </c>
      <c r="G5" s="105" t="s">
        <v>567</v>
      </c>
      <c r="H5" s="106" t="s">
        <v>568</v>
      </c>
      <c r="I5" s="105" t="s">
        <v>34</v>
      </c>
      <c r="J5" s="107" t="s">
        <v>572</v>
      </c>
      <c r="K5" s="104" t="s">
        <v>35</v>
      </c>
      <c r="L5" s="106" t="s">
        <v>36</v>
      </c>
      <c r="M5" s="107" t="s">
        <v>37</v>
      </c>
      <c r="N5" s="108" t="s">
        <v>38</v>
      </c>
      <c r="O5" s="106" t="s">
        <v>456</v>
      </c>
      <c r="P5" s="106" t="s">
        <v>457</v>
      </c>
      <c r="Q5" s="106" t="s">
        <v>41</v>
      </c>
      <c r="R5" s="106" t="s">
        <v>44</v>
      </c>
      <c r="S5" s="106" t="s">
        <v>45</v>
      </c>
      <c r="T5" s="106" t="s">
        <v>46</v>
      </c>
      <c r="U5" s="106" t="s">
        <v>151</v>
      </c>
      <c r="V5" s="105" t="s">
        <v>47</v>
      </c>
      <c r="W5" s="106" t="s">
        <v>48</v>
      </c>
      <c r="X5" s="106" t="s">
        <v>50</v>
      </c>
      <c r="Y5" s="106" t="s">
        <v>51</v>
      </c>
      <c r="Z5" s="106" t="s">
        <v>52</v>
      </c>
      <c r="AA5" s="106" t="s">
        <v>53</v>
      </c>
      <c r="AB5" s="106" t="s">
        <v>571</v>
      </c>
      <c r="AC5" s="106" t="s">
        <v>54</v>
      </c>
      <c r="AD5" s="106" t="s">
        <v>55</v>
      </c>
      <c r="AE5" s="106" t="s">
        <v>56</v>
      </c>
      <c r="AF5" s="106" t="s">
        <v>57</v>
      </c>
      <c r="AG5" s="106" t="s">
        <v>58</v>
      </c>
      <c r="AH5" s="106" t="s">
        <v>59</v>
      </c>
      <c r="AI5" s="106" t="s">
        <v>60</v>
      </c>
      <c r="AJ5" s="106" t="s">
        <v>61</v>
      </c>
      <c r="AK5" s="106" t="s">
        <v>62</v>
      </c>
      <c r="AL5" s="109" t="s">
        <v>64</v>
      </c>
      <c r="AM5" s="109" t="s">
        <v>65</v>
      </c>
      <c r="AN5" s="109" t="s">
        <v>66</v>
      </c>
      <c r="AO5" s="106" t="s">
        <v>67</v>
      </c>
      <c r="AP5" s="106" t="s">
        <v>68</v>
      </c>
      <c r="AQ5" s="106" t="s">
        <v>69</v>
      </c>
      <c r="AR5" s="106" t="s">
        <v>70</v>
      </c>
      <c r="AS5" s="106" t="s">
        <v>71</v>
      </c>
      <c r="AT5" s="106" t="s">
        <v>72</v>
      </c>
      <c r="AU5" s="104" t="s">
        <v>73</v>
      </c>
      <c r="AV5" s="124" t="s">
        <v>563</v>
      </c>
      <c r="AW5" s="110" t="s">
        <v>485</v>
      </c>
      <c r="AX5" s="110" t="s">
        <v>578</v>
      </c>
      <c r="AY5" s="104" t="s">
        <v>75</v>
      </c>
      <c r="AZ5" s="104" t="s">
        <v>77</v>
      </c>
      <c r="BA5" s="104" t="s">
        <v>78</v>
      </c>
      <c r="BB5" s="104" t="s">
        <v>79</v>
      </c>
      <c r="BC5" s="104" t="s">
        <v>80</v>
      </c>
      <c r="BD5" s="104" t="s">
        <v>81</v>
      </c>
      <c r="BE5" s="104" t="s">
        <v>82</v>
      </c>
      <c r="BF5" s="104" t="s">
        <v>83</v>
      </c>
      <c r="BG5" s="104" t="s">
        <v>85</v>
      </c>
      <c r="BH5" s="104" t="s">
        <v>86</v>
      </c>
      <c r="BI5" s="104" t="s">
        <v>87</v>
      </c>
      <c r="BJ5" s="104" t="s">
        <v>88</v>
      </c>
      <c r="BK5" s="111" t="s">
        <v>91</v>
      </c>
      <c r="BL5" s="104" t="s">
        <v>92</v>
      </c>
      <c r="BM5" s="104" t="s">
        <v>93</v>
      </c>
      <c r="BN5" s="104" t="s">
        <v>94</v>
      </c>
      <c r="BO5" s="104" t="s">
        <v>95</v>
      </c>
      <c r="BP5" s="104" t="s">
        <v>96</v>
      </c>
      <c r="BQ5" s="104" t="s">
        <v>97</v>
      </c>
      <c r="BR5" s="104" t="s">
        <v>98</v>
      </c>
      <c r="BS5" s="104" t="s">
        <v>99</v>
      </c>
      <c r="BT5" s="104" t="s">
        <v>100</v>
      </c>
      <c r="BU5" s="104" t="s">
        <v>101</v>
      </c>
      <c r="BV5" s="104" t="s">
        <v>102</v>
      </c>
      <c r="BW5" s="104" t="s">
        <v>103</v>
      </c>
      <c r="BX5" s="104" t="s">
        <v>104</v>
      </c>
      <c r="BY5" s="104" t="s">
        <v>105</v>
      </c>
      <c r="BZ5" s="112" t="s">
        <v>106</v>
      </c>
      <c r="CA5" s="104" t="s">
        <v>107</v>
      </c>
      <c r="CB5" s="104" t="s">
        <v>108</v>
      </c>
      <c r="CC5" s="104" t="s">
        <v>109</v>
      </c>
      <c r="CD5" s="104" t="s">
        <v>110</v>
      </c>
      <c r="CE5" s="104" t="s">
        <v>564</v>
      </c>
      <c r="CF5" s="104" t="s">
        <v>566</v>
      </c>
      <c r="CG5" s="106" t="s">
        <v>111</v>
      </c>
      <c r="CH5" s="106" t="s">
        <v>112</v>
      </c>
      <c r="CI5" s="106" t="s">
        <v>113</v>
      </c>
      <c r="CJ5" s="106" t="s">
        <v>114</v>
      </c>
      <c r="CK5" s="106" t="s">
        <v>115</v>
      </c>
      <c r="CL5" s="106" t="s">
        <v>524</v>
      </c>
      <c r="CM5" s="106" t="s">
        <v>525</v>
      </c>
      <c r="CN5" s="106" t="s">
        <v>526</v>
      </c>
      <c r="CO5" s="113" t="s">
        <v>116</v>
      </c>
      <c r="CP5" s="113" t="s">
        <v>117</v>
      </c>
      <c r="CQ5" s="113" t="s">
        <v>118</v>
      </c>
      <c r="CR5" s="113" t="s">
        <v>119</v>
      </c>
      <c r="CS5" s="113" t="s">
        <v>120</v>
      </c>
      <c r="CT5" s="113" t="s">
        <v>121</v>
      </c>
      <c r="CU5" s="113" t="s">
        <v>122</v>
      </c>
      <c r="CV5" s="113" t="s">
        <v>123</v>
      </c>
      <c r="CW5" s="106" t="s">
        <v>537</v>
      </c>
      <c r="CX5" s="106" t="s">
        <v>538</v>
      </c>
    </row>
    <row r="6">
      <c r="B6" t="s" s="243">
        <v>580</v>
      </c>
      <c r="C6" t="s" s="243">
        <v>594</v>
      </c>
      <c r="D6" t="s" s="243">
        <v>595</v>
      </c>
      <c r="E6" s="243"/>
      <c r="F6" s="243"/>
      <c r="G6" s="243"/>
      <c r="H6" s="243"/>
      <c r="I6" t="s" s="243">
        <v>585</v>
      </c>
      <c r="J6" s="243"/>
      <c r="K6" t="s" s="243">
        <v>596</v>
      </c>
      <c r="L6" t="s" s="243">
        <v>597</v>
      </c>
      <c r="M6" t="s" s="243">
        <v>598</v>
      </c>
      <c r="N6" s="243"/>
      <c r="O6" s="243"/>
      <c r="P6" s="243"/>
      <c r="Q6" s="243"/>
      <c r="R6" s="243"/>
      <c r="S6" s="243"/>
      <c r="T6" t="s" s="243">
        <v>604</v>
      </c>
      <c r="U6" s="243"/>
      <c r="V6" t="s" s="243">
        <v>599</v>
      </c>
      <c r="W6" t="s" s="243">
        <v>600</v>
      </c>
      <c r="X6" s="243"/>
      <c r="Y6" s="243"/>
      <c r="Z6" s="243"/>
      <c r="AA6" s="243"/>
      <c r="AB6" s="243"/>
      <c r="AC6" s="243"/>
      <c r="AD6" s="243"/>
      <c r="AE6" s="243"/>
      <c r="AF6" s="243"/>
      <c r="AG6" s="243"/>
      <c r="AH6" s="243"/>
      <c r="AI6" s="243"/>
      <c r="AJ6" s="243"/>
      <c r="AK6" s="243"/>
      <c r="AL6" t="s" s="243">
        <v>601</v>
      </c>
      <c r="AM6" s="243"/>
      <c r="AN6" s="243"/>
      <c r="AO6" s="243"/>
      <c r="AP6" t="s" s="243">
        <v>602</v>
      </c>
      <c r="AQ6" t="s" s="243">
        <v>603</v>
      </c>
      <c r="AR6" s="243"/>
      <c r="AS6" s="243"/>
      <c r="AT6" s="243"/>
      <c r="AU6" s="243"/>
      <c r="AV6" s="243"/>
      <c r="AW6" s="243"/>
      <c r="AX6" s="243"/>
      <c r="AY6" s="243"/>
      <c r="AZ6" s="243"/>
      <c r="BA6" s="243"/>
      <c r="BB6" s="243"/>
      <c r="BC6" s="243"/>
      <c r="BD6" s="243"/>
      <c r="BE6" s="243"/>
      <c r="BF6" s="243"/>
      <c r="BG6" s="243"/>
      <c r="BH6" s="243"/>
      <c r="BI6" s="243"/>
      <c r="BJ6" s="243"/>
      <c r="BK6" s="243"/>
      <c r="BL6" s="243"/>
      <c r="BM6" s="243"/>
      <c r="BN6" s="243"/>
      <c r="BO6" s="243"/>
      <c r="BP6" s="243"/>
      <c r="BQ6" s="243"/>
      <c r="BR6" s="243"/>
      <c r="BS6" s="243"/>
      <c r="BT6" s="243"/>
      <c r="BU6" s="243"/>
      <c r="BV6" s="243"/>
      <c r="BW6" s="243"/>
      <c r="BX6" s="243"/>
      <c r="BY6" s="243"/>
      <c r="BZ6" s="243"/>
      <c r="CA6" s="243"/>
      <c r="CB6" s="243"/>
      <c r="CC6" s="243"/>
      <c r="CD6" s="243"/>
      <c r="CE6" s="243"/>
      <c r="CF6" s="243"/>
      <c r="CG6" s="243"/>
      <c r="CH6" s="243"/>
      <c r="CI6" s="243"/>
      <c r="CJ6" s="243"/>
      <c r="CK6" s="243"/>
      <c r="CL6" s="243"/>
      <c r="CM6" s="243"/>
      <c r="CN6" s="243"/>
      <c r="CO6" s="243"/>
      <c r="CP6" s="243"/>
      <c r="CQ6" s="243"/>
      <c r="CR6" s="243"/>
      <c r="CS6" s="243"/>
      <c r="CT6" s="243"/>
      <c r="CU6" s="243"/>
      <c r="CV6" s="243"/>
      <c r="CW6" s="243"/>
      <c r="CX6" s="243"/>
    </row>
  </sheetData>
  <autoFilter ref="A5:CX5"/>
  <customSheetViews>
    <customSheetView guid="{EFAF1278-2BB4-487F-A381-983E6F72163A}" showPageBreaks="1" showGridLines="0" showRowCol="0" hiddenColumns="1" topLeftCell="G1">
      <pane ySplit="5" topLeftCell="A6" activePane="bottomLeft" state="frozen"/>
      <selection pane="bottomLeft" activeCell="AH11" sqref="AH11"/>
      <pageMargins left="0" right="0" top="0" bottom="0" header="0" footer="0"/>
      <pageSetup paperSize="9" orientation="portrait" r:id="rId1"/>
    </customSheetView>
    <customSheetView guid="{33876330-D4CE-4DD3-A5B9-91A882722FCE}" scale="70" showGridLines="0" printArea="1" showAutoFilter="1" hiddenColumns="1" topLeftCell="I1">
      <selection activeCell="I1" sqref="I1:BY1048576"/>
      <pageMargins left="0" right="0" top="0" bottom="0" header="0" footer="0"/>
      <pageSetup paperSize="8" scale="74" fitToWidth="2" fitToHeight="3" orientation="landscape" r:id="rId2"/>
      <autoFilter ref="I5:BT109"/>
    </customSheetView>
  </customSheetViews>
  <mergeCells count="2">
    <mergeCell ref="G2:I2"/>
    <mergeCell ref="K2:N2"/>
  </mergeCells>
  <phoneticPr fontId="33" type="noConversion"/>
  <printOptions horizontalCentered="1"/>
  <pageMargins left="0.25" right="0.25" top="0.5" bottom="0.5" header="0.3" footer="0.3"/>
  <pageSetup paperSize="8" scale="19" fitToHeight="0" orientation="landscape" cellComments="atEnd" r:id="rId3"/>
  <headerFooter>
    <oddHeader>&amp;C&amp;"-,Bold"&amp;22PAL - &amp;D</oddHeader>
    <oddFooter>&amp;CPage &amp;P of &amp;N</oddFooter>
  </headerFooter>
  <drawing r:id="rId4"/>
  <legacyDrawing r:id="rId5"/>
  <mc:AlternateContent>
    <mc:Choice Requires="x14">
      <controls>
        <mc:AlternateContent>
          <mc:Choice Requires="x14">
            <control shapeId="3380" r:id="rId6" name="chkPrintAllRows">
              <controlPr locked="0" defaultSize="0" print="0" autoFill="0" autoLine="0" autoPict="0">
                <anchor mov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104775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>
          <mc:Choice Requires="x14">
            <control shapeId="35032" r:id="rId7" name="chkPrintAllRows">
              <controlPr locked="0" defaultSize="0" print="0" autoFill="0" autoLine="0" autoPict="0">
                <anchor moveWithCells="1">
                  <from>
                    <xdr:col>8</xdr:col>
                    <xdr:colOff>0</xdr:colOff>
                    <xdr:row>2</xdr:row>
                    <xdr:rowOff>114300</xdr:rowOff>
                  </from>
                  <to>
                    <xdr:col>9</xdr:col>
                    <xdr:colOff>104775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>
          <mc:Choice Requires="x14">
            <control shapeId="62786" r:id="rId8" name="chkPrintAllRows">
              <controlPr locked="0" defaultSize="0" print="0" autoFill="0" autoLine="0" autoPict="0">
                <anchor moveWithCells="1">
                  <from>
                    <xdr:col>8</xdr:col>
                    <xdr:colOff>0</xdr:colOff>
                    <xdr:row>2</xdr:row>
                    <xdr:rowOff>114300</xdr:rowOff>
                  </from>
                  <to>
                    <xdr:col>9</xdr:col>
                    <xdr:colOff>104775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>
          <mc:Choice Requires="x14">
            <control shapeId="105474" r:id="rId9" name="chkPrintAllRows">
              <controlPr locked="0" defaultSize="0" print="0" autoFill="0" autoLine="0" autoPict="0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104775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>
          <mc:Choice Requires="x14">
            <control shapeId="105475" r:id="rId10" name="Check Box 6147">
              <controlPr locked="0" defaultSize="0" print="0" autoFill="0" autoLine="0" autoPict="0">
                <anchor moveWithCells="1">
                  <from>
                    <xdr:col>6</xdr:col>
                    <xdr:colOff>0</xdr:colOff>
                    <xdr:row>2</xdr:row>
                    <xdr:rowOff>114300</xdr:rowOff>
                  </from>
                  <to>
                    <xdr:col>7</xdr:col>
                    <xdr:colOff>104775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>
          <mc:Choice Requires="x14">
            <control shapeId="105476" r:id="rId11" name="Check Box 6148">
              <controlPr locked="0" defaultSize="0" print="0" autoFill="0" autoLine="0" autoPict="0">
                <anchor moveWithCells="1">
                  <from>
                    <xdr:col>6</xdr:col>
                    <xdr:colOff>0</xdr:colOff>
                    <xdr:row>2</xdr:row>
                    <xdr:rowOff>114300</xdr:rowOff>
                  </from>
                  <to>
                    <xdr:col>7</xdr:col>
                    <xdr:colOff>104775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MultipleArtwork"/>
  <dimension ref="B1:P2"/>
  <sheetViews>
    <sheetView zoomScale="70" zoomScaleNormal="70" workbookViewId="0">
      <selection activeCell="G15" sqref="G15"/>
    </sheetView>
  </sheetViews>
  <sheetFormatPr defaultColWidth="8.7109375" defaultRowHeight="15" x14ac:dyDescent="0.25"/>
  <cols>
    <col min="1" max="1" customWidth="true" width="3.140625" collapsed="true"/>
    <col min="2" max="2" customWidth="true" width="13.42578125" collapsed="true"/>
    <col min="3" max="3" customWidth="true" width="39.42578125" collapsed="true"/>
    <col min="4" max="4" customWidth="true" width="17.28515625" collapsed="true"/>
    <col min="5" max="6" customWidth="true" width="21.28515625" collapsed="true"/>
    <col min="7" max="16" customWidth="true" width="15.7109375" collapsed="true"/>
  </cols>
  <sheetData>
    <row r="1" spans="2:16" ht="12" customHeight="1" x14ac:dyDescent="0.25"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</row>
    <row r="2" spans="2:16" ht="34.5" customHeight="1" x14ac:dyDescent="0.25">
      <c r="B2" s="48" t="s">
        <v>38</v>
      </c>
      <c r="C2" s="48" t="s">
        <v>555</v>
      </c>
      <c r="D2" s="43" t="s">
        <v>70</v>
      </c>
      <c r="E2" s="43" t="s">
        <v>143</v>
      </c>
      <c r="F2" s="81" t="s">
        <v>53</v>
      </c>
      <c r="G2" s="43" t="s">
        <v>54</v>
      </c>
      <c r="H2" s="81" t="s">
        <v>55</v>
      </c>
      <c r="I2" s="81" t="s">
        <v>57</v>
      </c>
      <c r="J2" s="81" t="s">
        <v>144</v>
      </c>
      <c r="K2" s="81" t="s">
        <v>145</v>
      </c>
      <c r="L2" s="81" t="s">
        <v>61</v>
      </c>
      <c r="M2" s="43" t="s">
        <v>146</v>
      </c>
      <c r="N2" s="43" t="s">
        <v>147</v>
      </c>
      <c r="O2" s="81" t="s">
        <v>148</v>
      </c>
      <c r="P2" s="43" t="s">
        <v>149</v>
      </c>
    </row>
  </sheetData>
  <dataValidations count="7">
    <dataValidation type="list" allowBlank="1" showInputMessage="1" showErrorMessage="1" sqref="O3:O35">
      <formula1>dlInternationalPkgRegs</formula1>
    </dataValidation>
    <dataValidation type="list" allowBlank="1" showInputMessage="1" showErrorMessage="1" sqref="L3:L35">
      <formula1>dlCutterType</formula1>
    </dataValidation>
    <dataValidation type="list" allowBlank="1" showInputMessage="1" showErrorMessage="1" sqref="K3:K35">
      <formula1>dlSecondaryDesignRoute</formula1>
    </dataValidation>
    <dataValidation type="list" allowBlank="1" showInputMessage="1" showErrorMessage="1" sqref="J3:J35">
      <formula1>dlDesignRoute</formula1>
    </dataValidation>
    <dataValidation type="list" allowBlank="1" showInputMessage="1" showErrorMessage="1" sqref="F3:F35">
      <formula1>dlPrinterType</formula1>
    </dataValidation>
    <dataValidation type="list" allowBlank="1" showInputMessage="1" showErrorMessage="1" sqref="H3:H35">
      <formula1>dlPrintedPackagingType</formula1>
    </dataValidation>
    <dataValidation type="list" allowBlank="1" showInputMessage="1" showErrorMessage="1" sqref="I3:I35">
      <formula1>dlYN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Multipack">
    <pageSetUpPr fitToPage="1"/>
  </sheetPr>
  <dimension ref="B1:H3"/>
  <sheetViews>
    <sheetView zoomScale="70" zoomScaleNormal="70" workbookViewId="0"/>
  </sheetViews>
  <sheetFormatPr defaultColWidth="8.7109375" defaultRowHeight="43.5" customHeight="1" x14ac:dyDescent="0.25"/>
  <cols>
    <col min="1" max="1" customWidth="true" style="7" width="2.5703125" collapsed="true"/>
    <col min="2" max="2" customWidth="true" style="116" width="13.28515625" collapsed="true"/>
    <col min="3" max="3" customWidth="true" style="96" width="53.28515625" collapsed="true"/>
    <col min="4" max="4" customWidth="true" style="116" width="13.28515625" collapsed="true"/>
    <col min="5" max="5" customWidth="true" style="96" width="53.28515625" collapsed="true"/>
    <col min="6" max="6" customWidth="true" style="49" width="21.28515625" collapsed="true"/>
    <col min="7" max="7" customWidth="true" style="95" width="15.7109375" collapsed="true"/>
    <col min="8" max="8" customWidth="true" style="7" width="55.42578125" collapsed="true"/>
    <col min="9" max="16384" style="7" width="8.7109375" collapsed="true"/>
  </cols>
  <sheetData>
    <row r="1" spans="2:8" ht="12.75" customHeight="1" x14ac:dyDescent="0.25"/>
    <row r="2" spans="2:8" ht="43.5" customHeight="1" x14ac:dyDescent="0.25">
      <c r="B2" s="114" t="s">
        <v>546</v>
      </c>
      <c r="C2" s="114" t="s">
        <v>547</v>
      </c>
      <c r="D2" s="114" t="s">
        <v>545</v>
      </c>
      <c r="E2" s="114" t="s">
        <v>544</v>
      </c>
      <c r="F2" s="114" t="s">
        <v>70</v>
      </c>
      <c r="G2" s="114" t="s">
        <v>71</v>
      </c>
      <c r="H2" s="114" t="s">
        <v>41</v>
      </c>
    </row>
    <row r="3">
      <c r="B3" s="244"/>
      <c r="C3" s="244"/>
      <c r="D3" s="244"/>
      <c r="E3" s="244"/>
      <c r="F3" s="244"/>
      <c r="G3" s="244"/>
      <c r="H3" s="244"/>
    </row>
  </sheetData>
  <conditionalFormatting sqref="A1:XFD1048576">
    <cfRule type="containsText" dxfId="3" priority="153" operator="containsText" text="wicker">
      <formula>NOT(ISERROR(SEARCH("wicker",A1)))</formula>
    </cfRule>
    <cfRule type="containsText" dxfId="2" priority="154" operator="containsText" text="giftbox">
      <formula>NOT(ISERROR(SEARCH("giftbox",A1)))</formula>
    </cfRule>
    <cfRule type="containsText" dxfId="1" priority="155" operator="containsText" text="Hardware">
      <formula>NOT(ISERROR(SEARCH("Hardware",A1)))</formula>
    </cfRule>
  </conditionalFormatting>
  <pageMargins left="0.70866141732283472" right="0.70866141732283472" top="0.74803149606299213" bottom="0.74803149606299213" header="0.31496062992125984" footer="0.31496062992125984"/>
  <pageSetup paperSize="8" scale="10" fitToHeight="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MeetingNotes">
    <tabColor rgb="FF00B050"/>
    <pageSetUpPr fitToPage="1"/>
  </sheetPr>
  <dimension ref="B1:J41"/>
  <sheetViews>
    <sheetView workbookViewId="0"/>
  </sheetViews>
  <sheetFormatPr defaultColWidth="8.7109375" defaultRowHeight="15" x14ac:dyDescent="0.25"/>
  <cols>
    <col min="1" max="1" customWidth="true" width="1.42578125" collapsed="true"/>
    <col min="2" max="2" customWidth="true" width="28.0" collapsed="true"/>
    <col min="3" max="9" customWidth="true" width="8.28515625" collapsed="true"/>
    <col min="10" max="10" customWidth="true" width="10.7109375" collapsed="true"/>
  </cols>
  <sheetData>
    <row r="1" spans="2:10" ht="15.75" x14ac:dyDescent="0.25">
      <c r="B1" s="26" t="s">
        <v>212</v>
      </c>
      <c r="C1" s="11"/>
      <c r="D1" s="11"/>
      <c r="E1" s="39" t="e">
        <f>dseProjectName</f>
        <v>#REF!</v>
      </c>
    </row>
    <row r="2" spans="2:10" ht="18.75" x14ac:dyDescent="0.25">
      <c r="B2" s="26"/>
      <c r="C2" s="11"/>
      <c r="D2" s="11"/>
      <c r="E2" s="73" t="s">
        <v>150</v>
      </c>
      <c r="G2" s="73">
        <f>dsePALProjectName</f>
        <v>0</v>
      </c>
    </row>
    <row r="3" spans="2:10" ht="15.75" x14ac:dyDescent="0.25">
      <c r="B3" s="26"/>
      <c r="C3" s="11"/>
      <c r="D3" s="11"/>
      <c r="E3" s="11"/>
      <c r="F3" s="39"/>
    </row>
    <row r="4" spans="2:10" ht="16.5" thickBot="1" x14ac:dyDescent="0.3">
      <c r="B4" s="26"/>
      <c r="C4" s="11"/>
      <c r="D4" s="11"/>
      <c r="E4" s="11"/>
      <c r="F4" s="39"/>
    </row>
    <row r="5" spans="2:10" ht="15.75" thickBot="1" x14ac:dyDescent="0.3">
      <c r="B5" s="14" t="s">
        <v>213</v>
      </c>
      <c r="C5" s="171"/>
      <c r="D5" s="172"/>
      <c r="E5" s="172"/>
      <c r="F5" s="172"/>
      <c r="G5" s="172"/>
      <c r="H5" s="172"/>
      <c r="I5" s="169" t="s">
        <v>214</v>
      </c>
      <c r="J5" s="170"/>
    </row>
    <row r="6" spans="2:10" ht="15.75" thickBot="1" x14ac:dyDescent="0.3">
      <c r="B6" s="12" t="s">
        <v>215</v>
      </c>
      <c r="C6" s="173"/>
      <c r="D6" s="174"/>
      <c r="E6" s="174"/>
      <c r="F6" s="174"/>
      <c r="G6" s="174"/>
      <c r="H6" s="174"/>
      <c r="I6" s="174"/>
      <c r="J6" s="175"/>
    </row>
    <row r="7" spans="2:10" ht="15.75" thickBot="1" x14ac:dyDescent="0.3">
      <c r="B7" s="13" t="s">
        <v>216</v>
      </c>
      <c r="C7" s="171"/>
      <c r="D7" s="172"/>
      <c r="E7" s="172"/>
      <c r="F7" s="172"/>
      <c r="G7" s="172"/>
      <c r="H7" s="172"/>
      <c r="I7" s="172"/>
      <c r="J7" s="176"/>
    </row>
    <row r="8" spans="2:10" ht="15.75" thickBot="1" x14ac:dyDescent="0.3">
      <c r="B8" s="8"/>
    </row>
    <row r="9" spans="2:10" ht="15.75" thickBot="1" x14ac:dyDescent="0.3">
      <c r="B9" s="15" t="s">
        <v>217</v>
      </c>
      <c r="C9" s="157"/>
      <c r="D9" s="158"/>
      <c r="E9" s="158"/>
      <c r="F9" s="158"/>
      <c r="G9" s="158"/>
      <c r="H9" s="158"/>
      <c r="I9" s="158"/>
      <c r="J9" s="159"/>
    </row>
    <row r="10" spans="2:10" ht="15.75" thickBot="1" x14ac:dyDescent="0.3">
      <c r="B10" s="16" t="s">
        <v>218</v>
      </c>
      <c r="C10" s="160"/>
      <c r="D10" s="161"/>
      <c r="E10" s="161"/>
      <c r="F10" s="161"/>
      <c r="G10" s="161"/>
      <c r="H10" s="161"/>
      <c r="I10" s="161"/>
      <c r="J10" s="162"/>
    </row>
    <row r="11" spans="2:10" ht="15.75" thickBot="1" x14ac:dyDescent="0.3">
      <c r="B11" s="15" t="s">
        <v>219</v>
      </c>
      <c r="C11" s="157" t="s">
        <v>220</v>
      </c>
      <c r="D11" s="158"/>
      <c r="E11" s="158"/>
      <c r="F11" s="158"/>
      <c r="G11" s="159"/>
      <c r="H11" s="157" t="s">
        <v>221</v>
      </c>
      <c r="I11" s="158"/>
      <c r="J11" s="159"/>
    </row>
    <row r="12" spans="2:10" ht="30.75" thickBot="1" x14ac:dyDescent="0.3">
      <c r="B12" s="16" t="s">
        <v>222</v>
      </c>
      <c r="C12" s="17" t="s">
        <v>223</v>
      </c>
      <c r="D12" s="23" t="s">
        <v>224</v>
      </c>
      <c r="E12" s="23" t="s">
        <v>225</v>
      </c>
      <c r="F12" s="17" t="s">
        <v>226</v>
      </c>
      <c r="G12" s="23" t="s">
        <v>227</v>
      </c>
      <c r="H12" s="17" t="s">
        <v>228</v>
      </c>
      <c r="I12" s="23" t="s">
        <v>229</v>
      </c>
      <c r="J12" s="17" t="s">
        <v>230</v>
      </c>
    </row>
    <row r="13" spans="2:10" ht="30.75" thickBot="1" x14ac:dyDescent="0.3">
      <c r="B13" s="15" t="s">
        <v>231</v>
      </c>
      <c r="C13" s="18" t="s">
        <v>223</v>
      </c>
      <c r="D13" s="18" t="s">
        <v>224</v>
      </c>
      <c r="E13" s="18" t="s">
        <v>225</v>
      </c>
      <c r="F13" s="18" t="s">
        <v>226</v>
      </c>
      <c r="G13" s="24" t="s">
        <v>227</v>
      </c>
      <c r="H13" s="18" t="s">
        <v>228</v>
      </c>
      <c r="I13" s="24" t="s">
        <v>229</v>
      </c>
      <c r="J13" s="18" t="s">
        <v>230</v>
      </c>
    </row>
    <row r="14" spans="2:10" ht="15.75" thickBot="1" x14ac:dyDescent="0.3">
      <c r="C14" s="8" t="s">
        <v>211</v>
      </c>
      <c r="D14" s="8"/>
      <c r="E14" s="8"/>
    </row>
    <row r="15" spans="2:10" ht="24.75" thickBot="1" x14ac:dyDescent="0.3">
      <c r="B15" s="155" t="s">
        <v>232</v>
      </c>
      <c r="C15" s="156"/>
      <c r="D15" s="156"/>
      <c r="E15" s="156"/>
      <c r="F15" s="156"/>
      <c r="G15" s="156"/>
      <c r="H15" s="155" t="s">
        <v>233</v>
      </c>
      <c r="I15" s="163"/>
      <c r="J15" s="19" t="s">
        <v>234</v>
      </c>
    </row>
    <row r="16" spans="2:10" ht="16.5" customHeight="1" thickTop="1" thickBot="1" x14ac:dyDescent="0.3">
      <c r="B16" s="180" t="s">
        <v>235</v>
      </c>
      <c r="C16" s="181"/>
      <c r="D16" s="181"/>
      <c r="E16" s="181"/>
      <c r="F16" s="181"/>
      <c r="G16" s="181"/>
      <c r="H16" s="166" t="s">
        <v>8</v>
      </c>
      <c r="I16" s="167"/>
      <c r="J16" s="20"/>
    </row>
    <row r="17" spans="2:10" ht="15.75" thickBot="1" x14ac:dyDescent="0.3">
      <c r="B17" s="177" t="s">
        <v>236</v>
      </c>
      <c r="C17" s="178"/>
      <c r="D17" s="178"/>
      <c r="E17" s="178"/>
      <c r="F17" s="178"/>
      <c r="G17" s="178"/>
      <c r="H17" s="150" t="s">
        <v>8</v>
      </c>
      <c r="I17" s="151"/>
      <c r="J17" s="21"/>
    </row>
    <row r="18" spans="2:10" ht="15.75" thickBot="1" x14ac:dyDescent="0.3">
      <c r="B18" s="182"/>
      <c r="C18" s="183"/>
      <c r="D18" s="183"/>
      <c r="E18" s="183"/>
      <c r="F18" s="183"/>
      <c r="G18" s="183"/>
      <c r="H18" s="153"/>
      <c r="I18" s="168"/>
      <c r="J18" s="20"/>
    </row>
    <row r="19" spans="2:10" ht="15.75" thickBot="1" x14ac:dyDescent="0.3">
      <c r="B19" s="184"/>
      <c r="C19" s="185"/>
      <c r="D19" s="185"/>
      <c r="E19" s="185"/>
      <c r="F19" s="185"/>
      <c r="G19" s="185"/>
      <c r="H19" s="150"/>
      <c r="I19" s="151"/>
      <c r="J19" s="21"/>
    </row>
    <row r="20" spans="2:10" ht="15.75" thickBot="1" x14ac:dyDescent="0.3">
      <c r="B20" s="182"/>
      <c r="C20" s="183"/>
      <c r="D20" s="183"/>
      <c r="E20" s="183"/>
      <c r="F20" s="183"/>
      <c r="G20" s="183"/>
      <c r="H20" s="153"/>
      <c r="I20" s="168"/>
      <c r="J20" s="20"/>
    </row>
    <row r="21" spans="2:10" ht="15.75" thickBot="1" x14ac:dyDescent="0.3">
      <c r="B21" s="184"/>
      <c r="C21" s="185"/>
      <c r="D21" s="185"/>
      <c r="E21" s="185"/>
      <c r="F21" s="185"/>
      <c r="G21" s="185"/>
      <c r="H21" s="150"/>
      <c r="I21" s="151"/>
      <c r="J21" s="21"/>
    </row>
    <row r="22" spans="2:10" ht="15.75" thickBot="1" x14ac:dyDescent="0.3">
      <c r="B22" s="153"/>
      <c r="C22" s="154"/>
      <c r="D22" s="154"/>
      <c r="E22" s="154"/>
      <c r="F22" s="154"/>
      <c r="G22" s="154"/>
      <c r="H22" s="153"/>
      <c r="I22" s="168"/>
      <c r="J22" s="20"/>
    </row>
    <row r="23" spans="2:10" ht="15.75" thickBot="1" x14ac:dyDescent="0.3">
      <c r="B23" s="150"/>
      <c r="C23" s="152"/>
      <c r="D23" s="152"/>
      <c r="E23" s="152"/>
      <c r="F23" s="152"/>
      <c r="G23" s="152"/>
      <c r="H23" s="150"/>
      <c r="I23" s="151"/>
      <c r="J23" s="21"/>
    </row>
    <row r="24" spans="2:10" ht="15.75" thickBot="1" x14ac:dyDescent="0.3">
      <c r="B24" s="164"/>
      <c r="C24" s="179"/>
      <c r="D24" s="179"/>
      <c r="E24" s="179"/>
      <c r="F24" s="179"/>
      <c r="G24" s="179"/>
      <c r="H24" s="164"/>
      <c r="I24" s="165"/>
      <c r="J24" s="22"/>
    </row>
    <row r="25" spans="2:10" ht="15.75" thickBot="1" x14ac:dyDescent="0.3">
      <c r="B25" s="150"/>
      <c r="C25" s="152"/>
      <c r="D25" s="152"/>
      <c r="E25" s="152"/>
      <c r="F25" s="152"/>
      <c r="G25" s="152"/>
      <c r="H25" s="150"/>
      <c r="I25" s="151"/>
      <c r="J25" s="21"/>
    </row>
    <row r="26" spans="2:10" ht="15.75" thickBot="1" x14ac:dyDescent="0.3">
      <c r="B26" s="153"/>
      <c r="C26" s="154"/>
      <c r="D26" s="154"/>
      <c r="E26" s="154"/>
      <c r="F26" s="154"/>
      <c r="G26" s="154"/>
      <c r="H26" s="164"/>
      <c r="I26" s="165"/>
      <c r="J26" s="20"/>
    </row>
    <row r="27" spans="2:10" ht="15.75" thickBot="1" x14ac:dyDescent="0.3">
      <c r="B27" s="150"/>
      <c r="C27" s="152"/>
      <c r="D27" s="152"/>
      <c r="E27" s="152"/>
      <c r="F27" s="152"/>
      <c r="G27" s="152"/>
      <c r="H27" s="150"/>
      <c r="I27" s="151"/>
      <c r="J27" s="21"/>
    </row>
    <row r="28" spans="2:10" ht="15.75" thickBot="1" x14ac:dyDescent="0.3">
      <c r="B28" s="153"/>
      <c r="C28" s="154"/>
      <c r="D28" s="154"/>
      <c r="E28" s="154"/>
      <c r="F28" s="154"/>
      <c r="G28" s="154"/>
      <c r="H28" s="164"/>
      <c r="I28" s="165"/>
      <c r="J28" s="20"/>
    </row>
    <row r="29" spans="2:10" ht="15.75" thickBot="1" x14ac:dyDescent="0.3">
      <c r="B29" s="150"/>
      <c r="C29" s="152"/>
      <c r="D29" s="152"/>
      <c r="E29" s="152"/>
      <c r="F29" s="152"/>
      <c r="G29" s="152"/>
      <c r="H29" s="150"/>
      <c r="I29" s="151"/>
      <c r="J29" s="21"/>
    </row>
    <row r="30" spans="2:10" ht="15.75" thickBot="1" x14ac:dyDescent="0.3">
      <c r="B30" s="153"/>
      <c r="C30" s="154"/>
      <c r="D30" s="154"/>
      <c r="E30" s="154"/>
      <c r="F30" s="154"/>
      <c r="G30" s="154"/>
      <c r="H30" s="164"/>
      <c r="I30" s="165"/>
      <c r="J30" s="20"/>
    </row>
    <row r="31" spans="2:10" ht="15.75" thickBot="1" x14ac:dyDescent="0.3">
      <c r="B31" s="150"/>
      <c r="C31" s="152"/>
      <c r="D31" s="152"/>
      <c r="E31" s="152"/>
      <c r="F31" s="152"/>
      <c r="G31" s="152"/>
      <c r="H31" s="150"/>
      <c r="I31" s="151"/>
      <c r="J31" s="21"/>
    </row>
    <row r="32" spans="2:10" ht="15.75" thickBot="1" x14ac:dyDescent="0.3">
      <c r="B32" s="153"/>
      <c r="C32" s="154"/>
      <c r="D32" s="154"/>
      <c r="E32" s="154"/>
      <c r="F32" s="154"/>
      <c r="G32" s="154"/>
      <c r="H32" s="164"/>
      <c r="I32" s="165"/>
      <c r="J32" s="20"/>
    </row>
    <row r="33" spans="2:10" ht="15.75" thickBot="1" x14ac:dyDescent="0.3">
      <c r="B33" s="150"/>
      <c r="C33" s="152"/>
      <c r="D33" s="152"/>
      <c r="E33" s="152"/>
      <c r="F33" s="152"/>
      <c r="G33" s="152"/>
      <c r="H33" s="150"/>
      <c r="I33" s="151"/>
      <c r="J33" s="21"/>
    </row>
    <row r="34" spans="2:10" ht="15.75" thickBot="1" x14ac:dyDescent="0.3">
      <c r="B34" s="153"/>
      <c r="C34" s="154"/>
      <c r="D34" s="154"/>
      <c r="E34" s="154"/>
      <c r="F34" s="154"/>
      <c r="G34" s="154"/>
      <c r="H34" s="164"/>
      <c r="I34" s="165"/>
      <c r="J34" s="20"/>
    </row>
    <row r="35" spans="2:10" ht="15.75" thickBot="1" x14ac:dyDescent="0.3">
      <c r="B35" s="150"/>
      <c r="C35" s="152"/>
      <c r="D35" s="152"/>
      <c r="E35" s="152"/>
      <c r="F35" s="152"/>
      <c r="G35" s="152"/>
      <c r="H35" s="150"/>
      <c r="I35" s="151"/>
      <c r="J35" s="21"/>
    </row>
    <row r="36" spans="2:10" ht="15.75" thickBot="1" x14ac:dyDescent="0.3">
      <c r="B36" s="153"/>
      <c r="C36" s="154"/>
      <c r="D36" s="154"/>
      <c r="E36" s="154"/>
      <c r="F36" s="154"/>
      <c r="G36" s="154"/>
      <c r="H36" s="164"/>
      <c r="I36" s="165"/>
      <c r="J36" s="20"/>
    </row>
    <row r="37" spans="2:10" ht="15.75" thickBot="1" x14ac:dyDescent="0.3">
      <c r="B37" s="150"/>
      <c r="C37" s="152"/>
      <c r="D37" s="152"/>
      <c r="E37" s="152"/>
      <c r="F37" s="152"/>
      <c r="G37" s="152"/>
      <c r="H37" s="150"/>
      <c r="I37" s="151"/>
      <c r="J37" s="21"/>
    </row>
    <row r="38" spans="2:10" ht="15.75" thickBot="1" x14ac:dyDescent="0.3">
      <c r="B38" s="153"/>
      <c r="C38" s="154"/>
      <c r="D38" s="154"/>
      <c r="E38" s="154"/>
      <c r="F38" s="154"/>
      <c r="G38" s="154"/>
      <c r="H38" s="164"/>
      <c r="I38" s="165"/>
      <c r="J38" s="20"/>
    </row>
    <row r="39" spans="2:10" ht="15.75" thickBot="1" x14ac:dyDescent="0.3">
      <c r="B39" s="150"/>
      <c r="C39" s="152"/>
      <c r="D39" s="152"/>
      <c r="E39" s="152"/>
      <c r="F39" s="152"/>
      <c r="G39" s="152"/>
      <c r="H39" s="150"/>
      <c r="I39" s="151"/>
      <c r="J39" s="21"/>
    </row>
    <row r="40" spans="2:10" ht="15.75" thickBot="1" x14ac:dyDescent="0.3">
      <c r="B40" s="153"/>
      <c r="C40" s="154"/>
      <c r="D40" s="154"/>
      <c r="E40" s="154"/>
      <c r="F40" s="154"/>
      <c r="G40" s="154"/>
      <c r="H40" s="164"/>
      <c r="I40" s="165"/>
      <c r="J40" s="20"/>
    </row>
    <row r="41" spans="2:10" ht="15.75" thickBot="1" x14ac:dyDescent="0.3">
      <c r="B41" s="150"/>
      <c r="C41" s="152"/>
      <c r="D41" s="152"/>
      <c r="E41" s="152"/>
      <c r="F41" s="152"/>
      <c r="G41" s="152"/>
      <c r="H41" s="150"/>
      <c r="I41" s="151"/>
      <c r="J41" s="21"/>
    </row>
  </sheetData>
  <customSheetViews>
    <customSheetView guid="{33876330-D4CE-4DD3-A5B9-91A882722FCE}">
      <selection activeCell="A15" sqref="A15:E15"/>
      <pageMargins left="0" right="0" top="0" bottom="0" header="0" footer="0"/>
      <pageSetup paperSize="9" orientation="portrait" r:id="rId1"/>
    </customSheetView>
  </customSheetViews>
  <mergeCells count="62">
    <mergeCell ref="B16:G16"/>
    <mergeCell ref="B18:G18"/>
    <mergeCell ref="B19:G19"/>
    <mergeCell ref="B20:G20"/>
    <mergeCell ref="B21:G21"/>
    <mergeCell ref="B28:G28"/>
    <mergeCell ref="B26:G26"/>
    <mergeCell ref="B25:G25"/>
    <mergeCell ref="B27:G27"/>
    <mergeCell ref="B17:G17"/>
    <mergeCell ref="B23:G23"/>
    <mergeCell ref="B22:G22"/>
    <mergeCell ref="B24:G24"/>
    <mergeCell ref="H37:I37"/>
    <mergeCell ref="H38:I38"/>
    <mergeCell ref="H39:I39"/>
    <mergeCell ref="B29:G29"/>
    <mergeCell ref="B31:G31"/>
    <mergeCell ref="B33:G33"/>
    <mergeCell ref="B35:G35"/>
    <mergeCell ref="B37:G37"/>
    <mergeCell ref="B30:G30"/>
    <mergeCell ref="B32:G32"/>
    <mergeCell ref="B34:G34"/>
    <mergeCell ref="B36:G36"/>
    <mergeCell ref="H32:I32"/>
    <mergeCell ref="H33:I33"/>
    <mergeCell ref="H34:I34"/>
    <mergeCell ref="H35:I35"/>
    <mergeCell ref="H36:I36"/>
    <mergeCell ref="H27:I27"/>
    <mergeCell ref="H28:I28"/>
    <mergeCell ref="H29:I29"/>
    <mergeCell ref="H30:I30"/>
    <mergeCell ref="H31:I31"/>
    <mergeCell ref="I5:J5"/>
    <mergeCell ref="C5:H5"/>
    <mergeCell ref="C11:G11"/>
    <mergeCell ref="H11:J11"/>
    <mergeCell ref="C6:J6"/>
    <mergeCell ref="C7:J7"/>
    <mergeCell ref="B15:G15"/>
    <mergeCell ref="C9:J9"/>
    <mergeCell ref="C10:J10"/>
    <mergeCell ref="H15:I15"/>
    <mergeCell ref="H40:I40"/>
    <mergeCell ref="H16:I16"/>
    <mergeCell ref="H17:I17"/>
    <mergeCell ref="H18:I18"/>
    <mergeCell ref="H24:I24"/>
    <mergeCell ref="H23:I23"/>
    <mergeCell ref="H22:I22"/>
    <mergeCell ref="H21:I21"/>
    <mergeCell ref="H20:I20"/>
    <mergeCell ref="H19:I19"/>
    <mergeCell ref="H25:I25"/>
    <mergeCell ref="H26:I26"/>
    <mergeCell ref="H41:I41"/>
    <mergeCell ref="B39:G39"/>
    <mergeCell ref="B41:G41"/>
    <mergeCell ref="B38:G38"/>
    <mergeCell ref="B40:G40"/>
  </mergeCells>
  <pageMargins left="0.51181102362204722" right="0.51181102362204722" top="0.74803149606299213" bottom="0.74803149606299213" header="0.31496062992125984" footer="0.31496062992125984"/>
  <pageSetup paperSize="9" scale="94" fitToHeight="4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BatchDates"/>
  <dimension ref="A2:E206"/>
  <sheetViews>
    <sheetView workbookViewId="0"/>
  </sheetViews>
  <sheetFormatPr defaultColWidth="8.7109375" defaultRowHeight="15" x14ac:dyDescent="0.25"/>
  <cols>
    <col min="1" max="1" bestFit="true" customWidth="true" width="9.7109375" collapsed="true"/>
    <col min="2" max="2" customWidth="true" width="14.0" collapsed="true"/>
    <col min="3" max="5" customWidth="true" width="16.42578125" collapsed="true"/>
  </cols>
  <sheetData>
    <row r="2" spans="1:5" ht="36" x14ac:dyDescent="0.55000000000000004">
      <c r="A2" s="35" t="s">
        <v>164</v>
      </c>
    </row>
    <row r="5" spans="1:5" ht="30" x14ac:dyDescent="0.25">
      <c r="A5" s="47" t="s">
        <v>237</v>
      </c>
      <c r="B5" s="9" t="s">
        <v>238</v>
      </c>
      <c r="C5" s="10" t="s">
        <v>152</v>
      </c>
      <c r="D5" s="10" t="s">
        <v>239</v>
      </c>
      <c r="E5" s="10" t="s">
        <v>240</v>
      </c>
    </row>
    <row r="6" spans="1:5" x14ac:dyDescent="0.25">
      <c r="A6" s="59" t="s">
        <v>241</v>
      </c>
      <c r="B6" s="51">
        <v>43591</v>
      </c>
      <c r="C6" s="51" t="s">
        <v>210</v>
      </c>
      <c r="D6" s="51">
        <v>43605</v>
      </c>
      <c r="E6" s="51">
        <v>43609</v>
      </c>
    </row>
    <row r="7" spans="1:5" x14ac:dyDescent="0.25">
      <c r="A7" s="59" t="s">
        <v>242</v>
      </c>
      <c r="B7" s="51">
        <v>43584</v>
      </c>
      <c r="C7" s="51">
        <v>43584</v>
      </c>
      <c r="D7" s="51">
        <v>43605</v>
      </c>
      <c r="E7" s="51">
        <v>43623</v>
      </c>
    </row>
    <row r="8" spans="1:5" x14ac:dyDescent="0.25">
      <c r="A8" s="59" t="s">
        <v>243</v>
      </c>
      <c r="B8" s="51">
        <v>43577</v>
      </c>
      <c r="C8" s="51">
        <v>43570</v>
      </c>
      <c r="D8" s="51">
        <v>43605</v>
      </c>
      <c r="E8" s="51">
        <v>43626</v>
      </c>
    </row>
    <row r="9" spans="1:5" x14ac:dyDescent="0.25">
      <c r="A9" s="59" t="s">
        <v>244</v>
      </c>
      <c r="B9" s="51">
        <v>43570</v>
      </c>
      <c r="C9" s="51">
        <v>43570</v>
      </c>
      <c r="D9" s="51">
        <v>43605</v>
      </c>
      <c r="E9" s="51">
        <v>43637</v>
      </c>
    </row>
    <row r="10" spans="1:5" x14ac:dyDescent="0.25">
      <c r="A10" s="59" t="s">
        <v>245</v>
      </c>
      <c r="B10" s="51">
        <v>43605</v>
      </c>
      <c r="C10" s="51" t="s">
        <v>210</v>
      </c>
      <c r="D10" s="51">
        <v>43619</v>
      </c>
      <c r="E10" s="51">
        <v>43623</v>
      </c>
    </row>
    <row r="11" spans="1:5" x14ac:dyDescent="0.25">
      <c r="A11" s="59" t="s">
        <v>246</v>
      </c>
      <c r="B11" s="51">
        <v>43598</v>
      </c>
      <c r="C11" s="51">
        <v>43598</v>
      </c>
      <c r="D11" s="51">
        <v>43619</v>
      </c>
      <c r="E11" s="51">
        <v>43637</v>
      </c>
    </row>
    <row r="12" spans="1:5" x14ac:dyDescent="0.25">
      <c r="A12" s="59" t="s">
        <v>247</v>
      </c>
      <c r="B12" s="51">
        <v>43591</v>
      </c>
      <c r="C12" s="51">
        <v>43584</v>
      </c>
      <c r="D12" s="51">
        <v>43619</v>
      </c>
      <c r="E12" s="51">
        <v>43640</v>
      </c>
    </row>
    <row r="13" spans="1:5" x14ac:dyDescent="0.25">
      <c r="A13" s="59" t="s">
        <v>248</v>
      </c>
      <c r="B13" s="51">
        <v>43584</v>
      </c>
      <c r="C13" s="51">
        <v>43584</v>
      </c>
      <c r="D13" s="51">
        <v>43619</v>
      </c>
      <c r="E13" s="51">
        <v>43651</v>
      </c>
    </row>
    <row r="14" spans="1:5" x14ac:dyDescent="0.25">
      <c r="A14" s="59" t="s">
        <v>249</v>
      </c>
      <c r="B14" s="51">
        <v>43619</v>
      </c>
      <c r="C14" s="51" t="s">
        <v>210</v>
      </c>
      <c r="D14" s="51">
        <v>43633</v>
      </c>
      <c r="E14" s="51">
        <v>43637</v>
      </c>
    </row>
    <row r="15" spans="1:5" x14ac:dyDescent="0.25">
      <c r="A15" s="59" t="s">
        <v>250</v>
      </c>
      <c r="B15" s="51">
        <v>43612</v>
      </c>
      <c r="C15" s="51">
        <v>43612</v>
      </c>
      <c r="D15" s="51">
        <v>43633</v>
      </c>
      <c r="E15" s="51">
        <v>43651</v>
      </c>
    </row>
    <row r="16" spans="1:5" x14ac:dyDescent="0.25">
      <c r="A16" s="59" t="s">
        <v>251</v>
      </c>
      <c r="B16" s="51">
        <v>43605</v>
      </c>
      <c r="C16" s="51">
        <v>43598</v>
      </c>
      <c r="D16" s="51">
        <v>43633</v>
      </c>
      <c r="E16" s="51">
        <v>43654</v>
      </c>
    </row>
    <row r="17" spans="1:5" x14ac:dyDescent="0.25">
      <c r="A17" s="59" t="s">
        <v>252</v>
      </c>
      <c r="B17" s="51">
        <v>43598</v>
      </c>
      <c r="C17" s="51">
        <v>43598</v>
      </c>
      <c r="D17" s="51">
        <v>43633</v>
      </c>
      <c r="E17" s="51">
        <v>43665</v>
      </c>
    </row>
    <row r="18" spans="1:5" x14ac:dyDescent="0.25">
      <c r="A18" s="59" t="s">
        <v>253</v>
      </c>
      <c r="B18" s="51">
        <v>43633</v>
      </c>
      <c r="C18" s="51" t="s">
        <v>210</v>
      </c>
      <c r="D18" s="51">
        <v>43647</v>
      </c>
      <c r="E18" s="51">
        <v>43651</v>
      </c>
    </row>
    <row r="19" spans="1:5" x14ac:dyDescent="0.25">
      <c r="A19" s="59" t="s">
        <v>254</v>
      </c>
      <c r="B19" s="51">
        <v>43626</v>
      </c>
      <c r="C19" s="51">
        <v>43626</v>
      </c>
      <c r="D19" s="51">
        <v>43647</v>
      </c>
      <c r="E19" s="51">
        <v>43665</v>
      </c>
    </row>
    <row r="20" spans="1:5" x14ac:dyDescent="0.25">
      <c r="A20" s="59" t="s">
        <v>255</v>
      </c>
      <c r="B20" s="51">
        <v>43619</v>
      </c>
      <c r="C20" s="51">
        <v>43612</v>
      </c>
      <c r="D20" s="51">
        <v>43647</v>
      </c>
      <c r="E20" s="51">
        <v>43668</v>
      </c>
    </row>
    <row r="21" spans="1:5" x14ac:dyDescent="0.25">
      <c r="A21" s="59" t="s">
        <v>256</v>
      </c>
      <c r="B21" s="51">
        <v>43612</v>
      </c>
      <c r="C21" s="51">
        <v>43612</v>
      </c>
      <c r="D21" s="51">
        <v>43647</v>
      </c>
      <c r="E21" s="51">
        <v>43679</v>
      </c>
    </row>
    <row r="22" spans="1:5" x14ac:dyDescent="0.25">
      <c r="A22" s="59" t="s">
        <v>257</v>
      </c>
      <c r="B22" s="51">
        <v>43647</v>
      </c>
      <c r="C22" s="51" t="s">
        <v>210</v>
      </c>
      <c r="D22" s="51">
        <v>43661</v>
      </c>
      <c r="E22" s="51">
        <v>43665</v>
      </c>
    </row>
    <row r="23" spans="1:5" x14ac:dyDescent="0.25">
      <c r="A23" s="59" t="s">
        <v>258</v>
      </c>
      <c r="B23" s="51">
        <v>43640</v>
      </c>
      <c r="C23" s="51">
        <v>43640</v>
      </c>
      <c r="D23" s="51">
        <v>43661</v>
      </c>
      <c r="E23" s="51">
        <v>43679</v>
      </c>
    </row>
    <row r="24" spans="1:5" x14ac:dyDescent="0.25">
      <c r="A24" s="59" t="s">
        <v>259</v>
      </c>
      <c r="B24" s="51">
        <v>43633</v>
      </c>
      <c r="C24" s="51">
        <v>43626</v>
      </c>
      <c r="D24" s="51">
        <v>43661</v>
      </c>
      <c r="E24" s="51">
        <v>43682</v>
      </c>
    </row>
    <row r="25" spans="1:5" x14ac:dyDescent="0.25">
      <c r="A25" s="59" t="s">
        <v>260</v>
      </c>
      <c r="B25" s="51">
        <v>43626</v>
      </c>
      <c r="C25" s="51">
        <v>43626</v>
      </c>
      <c r="D25" s="51">
        <v>43661</v>
      </c>
      <c r="E25" s="51">
        <v>43693</v>
      </c>
    </row>
    <row r="26" spans="1:5" x14ac:dyDescent="0.25">
      <c r="A26" s="59" t="s">
        <v>261</v>
      </c>
      <c r="B26" s="51">
        <v>43661</v>
      </c>
      <c r="C26" s="51" t="s">
        <v>210</v>
      </c>
      <c r="D26" s="51">
        <v>43675</v>
      </c>
      <c r="E26" s="51">
        <v>43679</v>
      </c>
    </row>
    <row r="27" spans="1:5" x14ac:dyDescent="0.25">
      <c r="A27" s="59" t="s">
        <v>262</v>
      </c>
      <c r="B27" s="51">
        <v>43654</v>
      </c>
      <c r="C27" s="51">
        <v>43654</v>
      </c>
      <c r="D27" s="51">
        <v>43675</v>
      </c>
      <c r="E27" s="51">
        <v>43693</v>
      </c>
    </row>
    <row r="28" spans="1:5" x14ac:dyDescent="0.25">
      <c r="A28" s="59" t="s">
        <v>263</v>
      </c>
      <c r="B28" s="51">
        <v>43647</v>
      </c>
      <c r="C28" s="51">
        <v>43640</v>
      </c>
      <c r="D28" s="51">
        <v>43675</v>
      </c>
      <c r="E28" s="51">
        <v>43696</v>
      </c>
    </row>
    <row r="29" spans="1:5" x14ac:dyDescent="0.25">
      <c r="A29" s="59" t="s">
        <v>264</v>
      </c>
      <c r="B29" s="51">
        <v>43640</v>
      </c>
      <c r="C29" s="51">
        <v>43640</v>
      </c>
      <c r="D29" s="51">
        <v>43675</v>
      </c>
      <c r="E29" s="51">
        <v>43707</v>
      </c>
    </row>
    <row r="30" spans="1:5" x14ac:dyDescent="0.25">
      <c r="A30" s="59" t="s">
        <v>265</v>
      </c>
      <c r="B30" s="51">
        <v>43675</v>
      </c>
      <c r="C30" s="51" t="s">
        <v>210</v>
      </c>
      <c r="D30" s="51">
        <v>43689</v>
      </c>
      <c r="E30" s="51">
        <v>43693</v>
      </c>
    </row>
    <row r="31" spans="1:5" x14ac:dyDescent="0.25">
      <c r="A31" s="59" t="s">
        <v>266</v>
      </c>
      <c r="B31" s="51">
        <v>43668</v>
      </c>
      <c r="C31" s="51">
        <v>43668</v>
      </c>
      <c r="D31" s="51">
        <v>43689</v>
      </c>
      <c r="E31" s="51">
        <v>43707</v>
      </c>
    </row>
    <row r="32" spans="1:5" x14ac:dyDescent="0.25">
      <c r="A32" s="59" t="s">
        <v>267</v>
      </c>
      <c r="B32" s="51">
        <v>43661</v>
      </c>
      <c r="C32" s="51">
        <v>43654</v>
      </c>
      <c r="D32" s="51">
        <v>43689</v>
      </c>
      <c r="E32" s="51">
        <v>43710</v>
      </c>
    </row>
    <row r="33" spans="1:5" x14ac:dyDescent="0.25">
      <c r="A33" s="59" t="s">
        <v>268</v>
      </c>
      <c r="B33" s="51">
        <v>43654</v>
      </c>
      <c r="C33" s="51">
        <v>43654</v>
      </c>
      <c r="D33" s="51">
        <v>43689</v>
      </c>
      <c r="E33" s="51">
        <v>43721</v>
      </c>
    </row>
    <row r="34" spans="1:5" x14ac:dyDescent="0.25">
      <c r="A34" s="59" t="s">
        <v>269</v>
      </c>
      <c r="B34" s="51">
        <v>43689</v>
      </c>
      <c r="C34" s="51" t="s">
        <v>210</v>
      </c>
      <c r="D34" s="51">
        <v>43703</v>
      </c>
      <c r="E34" s="51">
        <v>43707</v>
      </c>
    </row>
    <row r="35" spans="1:5" x14ac:dyDescent="0.25">
      <c r="A35" s="59" t="s">
        <v>270</v>
      </c>
      <c r="B35" s="51">
        <v>43682</v>
      </c>
      <c r="C35" s="51">
        <v>43682</v>
      </c>
      <c r="D35" s="51">
        <v>43703</v>
      </c>
      <c r="E35" s="51">
        <v>43721</v>
      </c>
    </row>
    <row r="36" spans="1:5" x14ac:dyDescent="0.25">
      <c r="A36" s="59" t="s">
        <v>271</v>
      </c>
      <c r="B36" s="51">
        <v>43675</v>
      </c>
      <c r="C36" s="51">
        <v>43668</v>
      </c>
      <c r="D36" s="51">
        <v>43703</v>
      </c>
      <c r="E36" s="51">
        <v>43724</v>
      </c>
    </row>
    <row r="37" spans="1:5" x14ac:dyDescent="0.25">
      <c r="A37" s="59" t="s">
        <v>272</v>
      </c>
      <c r="B37" s="51">
        <v>43668</v>
      </c>
      <c r="C37" s="51">
        <v>43668</v>
      </c>
      <c r="D37" s="51">
        <v>43703</v>
      </c>
      <c r="E37" s="51">
        <v>43735</v>
      </c>
    </row>
    <row r="38" spans="1:5" x14ac:dyDescent="0.25">
      <c r="A38" s="59" t="s">
        <v>273</v>
      </c>
      <c r="B38" s="51">
        <v>43703</v>
      </c>
      <c r="C38" s="51" t="s">
        <v>210</v>
      </c>
      <c r="D38" s="51">
        <v>43717</v>
      </c>
      <c r="E38" s="51">
        <v>43721</v>
      </c>
    </row>
    <row r="39" spans="1:5" x14ac:dyDescent="0.25">
      <c r="A39" s="59" t="s">
        <v>274</v>
      </c>
      <c r="B39" s="51">
        <v>43696</v>
      </c>
      <c r="C39" s="51">
        <v>43696</v>
      </c>
      <c r="D39" s="51">
        <v>43717</v>
      </c>
      <c r="E39" s="51">
        <v>43735</v>
      </c>
    </row>
    <row r="40" spans="1:5" x14ac:dyDescent="0.25">
      <c r="A40" s="59" t="s">
        <v>275</v>
      </c>
      <c r="B40" s="51">
        <v>43689</v>
      </c>
      <c r="C40" s="51">
        <v>43682</v>
      </c>
      <c r="D40" s="51">
        <v>43717</v>
      </c>
      <c r="E40" s="51">
        <v>43738</v>
      </c>
    </row>
    <row r="41" spans="1:5" x14ac:dyDescent="0.25">
      <c r="A41" s="59" t="s">
        <v>276</v>
      </c>
      <c r="B41" s="51">
        <v>43682</v>
      </c>
      <c r="C41" s="51">
        <v>43682</v>
      </c>
      <c r="D41" s="51">
        <v>43717</v>
      </c>
      <c r="E41" s="51">
        <v>43749</v>
      </c>
    </row>
    <row r="42" spans="1:5" x14ac:dyDescent="0.25">
      <c r="A42" s="59" t="s">
        <v>277</v>
      </c>
      <c r="B42" s="51">
        <v>43717</v>
      </c>
      <c r="C42" s="51" t="s">
        <v>210</v>
      </c>
      <c r="D42" s="51">
        <v>43731</v>
      </c>
      <c r="E42" s="51">
        <v>43735</v>
      </c>
    </row>
    <row r="43" spans="1:5" x14ac:dyDescent="0.25">
      <c r="A43" s="59" t="s">
        <v>278</v>
      </c>
      <c r="B43" s="51">
        <v>43710</v>
      </c>
      <c r="C43" s="51">
        <v>43710</v>
      </c>
      <c r="D43" s="51">
        <v>43731</v>
      </c>
      <c r="E43" s="51">
        <v>43749</v>
      </c>
    </row>
    <row r="44" spans="1:5" x14ac:dyDescent="0.25">
      <c r="A44" s="59" t="s">
        <v>279</v>
      </c>
      <c r="B44" s="51">
        <v>43703</v>
      </c>
      <c r="C44" s="51">
        <v>43696</v>
      </c>
      <c r="D44" s="51">
        <v>43731</v>
      </c>
      <c r="E44" s="51">
        <v>43752</v>
      </c>
    </row>
    <row r="45" spans="1:5" x14ac:dyDescent="0.25">
      <c r="A45" s="59" t="s">
        <v>280</v>
      </c>
      <c r="B45" s="51">
        <v>43696</v>
      </c>
      <c r="C45" s="51">
        <v>43696</v>
      </c>
      <c r="D45" s="51">
        <v>43731</v>
      </c>
      <c r="E45" s="51">
        <v>43763</v>
      </c>
    </row>
    <row r="46" spans="1:5" x14ac:dyDescent="0.25">
      <c r="A46" s="59" t="s">
        <v>281</v>
      </c>
      <c r="B46" s="51">
        <v>43731</v>
      </c>
      <c r="C46" s="51" t="s">
        <v>210</v>
      </c>
      <c r="D46" s="51">
        <v>43745</v>
      </c>
      <c r="E46" s="51">
        <v>43749</v>
      </c>
    </row>
    <row r="47" spans="1:5" x14ac:dyDescent="0.25">
      <c r="A47" s="59" t="s">
        <v>282</v>
      </c>
      <c r="B47" s="51">
        <v>43724</v>
      </c>
      <c r="C47" s="51">
        <v>43724</v>
      </c>
      <c r="D47" s="51">
        <v>43745</v>
      </c>
      <c r="E47" s="51">
        <v>43763</v>
      </c>
    </row>
    <row r="48" spans="1:5" x14ac:dyDescent="0.25">
      <c r="A48" s="59" t="s">
        <v>283</v>
      </c>
      <c r="B48" s="51">
        <v>43717</v>
      </c>
      <c r="C48" s="51">
        <v>43710</v>
      </c>
      <c r="D48" s="51">
        <v>43745</v>
      </c>
      <c r="E48" s="51">
        <v>43766</v>
      </c>
    </row>
    <row r="49" spans="1:5" x14ac:dyDescent="0.25">
      <c r="A49" s="59" t="s">
        <v>284</v>
      </c>
      <c r="B49" s="51">
        <v>43710</v>
      </c>
      <c r="C49" s="51">
        <v>43710</v>
      </c>
      <c r="D49" s="51">
        <v>43745</v>
      </c>
      <c r="E49" s="51">
        <v>43777</v>
      </c>
    </row>
    <row r="50" spans="1:5" x14ac:dyDescent="0.25">
      <c r="A50" s="59" t="s">
        <v>285</v>
      </c>
      <c r="B50" s="51">
        <v>43745</v>
      </c>
      <c r="C50" s="51" t="s">
        <v>210</v>
      </c>
      <c r="D50" s="51">
        <v>43759</v>
      </c>
      <c r="E50" s="51">
        <v>43763</v>
      </c>
    </row>
    <row r="51" spans="1:5" x14ac:dyDescent="0.25">
      <c r="A51" s="59" t="s">
        <v>286</v>
      </c>
      <c r="B51" s="51">
        <v>43738</v>
      </c>
      <c r="C51" s="51">
        <v>43738</v>
      </c>
      <c r="D51" s="51">
        <v>43759</v>
      </c>
      <c r="E51" s="51">
        <v>43777</v>
      </c>
    </row>
    <row r="52" spans="1:5" x14ac:dyDescent="0.25">
      <c r="A52" s="59" t="s">
        <v>287</v>
      </c>
      <c r="B52" s="51">
        <v>43731</v>
      </c>
      <c r="C52" s="51">
        <v>43724</v>
      </c>
      <c r="D52" s="51">
        <v>43759</v>
      </c>
      <c r="E52" s="51">
        <v>43780</v>
      </c>
    </row>
    <row r="53" spans="1:5" x14ac:dyDescent="0.25">
      <c r="A53" s="59" t="s">
        <v>288</v>
      </c>
      <c r="B53" s="51">
        <v>43724</v>
      </c>
      <c r="C53" s="51">
        <v>43724</v>
      </c>
      <c r="D53" s="51">
        <v>43759</v>
      </c>
      <c r="E53" s="51">
        <v>43791</v>
      </c>
    </row>
    <row r="54" spans="1:5" x14ac:dyDescent="0.25">
      <c r="A54" s="59" t="s">
        <v>289</v>
      </c>
      <c r="B54" s="51">
        <v>43759</v>
      </c>
      <c r="C54" s="51" t="s">
        <v>210</v>
      </c>
      <c r="D54" s="51">
        <v>43773</v>
      </c>
      <c r="E54" s="51">
        <v>43777</v>
      </c>
    </row>
    <row r="55" spans="1:5" x14ac:dyDescent="0.25">
      <c r="A55" s="59" t="s">
        <v>290</v>
      </c>
      <c r="B55" s="51">
        <v>43752</v>
      </c>
      <c r="C55" s="51">
        <v>43752</v>
      </c>
      <c r="D55" s="51">
        <v>43773</v>
      </c>
      <c r="E55" s="51">
        <v>43791</v>
      </c>
    </row>
    <row r="56" spans="1:5" x14ac:dyDescent="0.25">
      <c r="A56" s="59" t="s">
        <v>291</v>
      </c>
      <c r="B56" s="51">
        <v>43745</v>
      </c>
      <c r="C56" s="51">
        <v>43738</v>
      </c>
      <c r="D56" s="51">
        <v>43773</v>
      </c>
      <c r="E56" s="51">
        <v>43794</v>
      </c>
    </row>
    <row r="57" spans="1:5" x14ac:dyDescent="0.25">
      <c r="A57" s="59" t="s">
        <v>292</v>
      </c>
      <c r="B57" s="51">
        <v>43738</v>
      </c>
      <c r="C57" s="51">
        <v>43738</v>
      </c>
      <c r="D57" s="51">
        <v>43773</v>
      </c>
      <c r="E57" s="51">
        <v>43805</v>
      </c>
    </row>
    <row r="58" spans="1:5" x14ac:dyDescent="0.25">
      <c r="A58" s="59" t="s">
        <v>293</v>
      </c>
      <c r="B58" s="51">
        <v>43773</v>
      </c>
      <c r="C58" s="51" t="s">
        <v>210</v>
      </c>
      <c r="D58" s="51">
        <v>43787</v>
      </c>
      <c r="E58" s="51">
        <v>43791</v>
      </c>
    </row>
    <row r="59" spans="1:5" x14ac:dyDescent="0.25">
      <c r="A59" s="59" t="s">
        <v>294</v>
      </c>
      <c r="B59" s="51">
        <v>43766</v>
      </c>
      <c r="C59" s="51">
        <v>43766</v>
      </c>
      <c r="D59" s="51">
        <v>43787</v>
      </c>
      <c r="E59" s="51">
        <v>43805</v>
      </c>
    </row>
    <row r="60" spans="1:5" x14ac:dyDescent="0.25">
      <c r="A60" s="59" t="s">
        <v>295</v>
      </c>
      <c r="B60" s="51">
        <v>43759</v>
      </c>
      <c r="C60" s="51">
        <v>43752</v>
      </c>
      <c r="D60" s="51">
        <v>43787</v>
      </c>
      <c r="E60" s="51">
        <v>43808</v>
      </c>
    </row>
    <row r="61" spans="1:5" x14ac:dyDescent="0.25">
      <c r="A61" s="59" t="s">
        <v>296</v>
      </c>
      <c r="B61" s="51">
        <v>43752</v>
      </c>
      <c r="C61" s="51">
        <v>43752</v>
      </c>
      <c r="D61" s="51">
        <v>43787</v>
      </c>
      <c r="E61" s="51">
        <v>43819</v>
      </c>
    </row>
    <row r="62" spans="1:5" x14ac:dyDescent="0.25">
      <c r="A62" s="59" t="s">
        <v>297</v>
      </c>
      <c r="B62" s="51">
        <v>43787</v>
      </c>
      <c r="C62" s="51" t="s">
        <v>210</v>
      </c>
      <c r="D62" s="51">
        <v>43801</v>
      </c>
      <c r="E62" s="51">
        <v>43805</v>
      </c>
    </row>
    <row r="63" spans="1:5" x14ac:dyDescent="0.25">
      <c r="A63" s="59" t="s">
        <v>298</v>
      </c>
      <c r="B63" s="51">
        <v>43780</v>
      </c>
      <c r="C63" s="51">
        <v>43780</v>
      </c>
      <c r="D63" s="51">
        <v>43801</v>
      </c>
      <c r="E63" s="51">
        <v>43819</v>
      </c>
    </row>
    <row r="64" spans="1:5" x14ac:dyDescent="0.25">
      <c r="A64" s="59" t="s">
        <v>299</v>
      </c>
      <c r="B64" s="51">
        <v>43773</v>
      </c>
      <c r="C64" s="51">
        <v>43766</v>
      </c>
      <c r="D64" s="51">
        <v>43801</v>
      </c>
      <c r="E64" s="51">
        <v>43822</v>
      </c>
    </row>
    <row r="65" spans="1:5" x14ac:dyDescent="0.25">
      <c r="A65" s="59" t="s">
        <v>300</v>
      </c>
      <c r="B65" s="51">
        <v>43766</v>
      </c>
      <c r="C65" s="51">
        <v>43766</v>
      </c>
      <c r="D65" s="51">
        <v>43801</v>
      </c>
      <c r="E65" s="51">
        <v>43833</v>
      </c>
    </row>
    <row r="66" spans="1:5" x14ac:dyDescent="0.25">
      <c r="A66" s="59" t="s">
        <v>301</v>
      </c>
      <c r="B66" s="51">
        <v>43801</v>
      </c>
      <c r="C66" s="51" t="s">
        <v>210</v>
      </c>
      <c r="D66" s="51">
        <v>43815</v>
      </c>
      <c r="E66" s="51">
        <v>43819</v>
      </c>
    </row>
    <row r="67" spans="1:5" x14ac:dyDescent="0.25">
      <c r="A67" s="59" t="s">
        <v>302</v>
      </c>
      <c r="B67" s="51">
        <v>43794</v>
      </c>
      <c r="C67" s="51">
        <v>43794</v>
      </c>
      <c r="D67" s="51">
        <v>43815</v>
      </c>
      <c r="E67" s="51">
        <v>43833</v>
      </c>
    </row>
    <row r="68" spans="1:5" x14ac:dyDescent="0.25">
      <c r="A68" s="59" t="s">
        <v>303</v>
      </c>
      <c r="B68" s="51">
        <v>43787</v>
      </c>
      <c r="C68" s="51">
        <v>43780</v>
      </c>
      <c r="D68" s="51">
        <v>43815</v>
      </c>
      <c r="E68" s="51">
        <v>43836</v>
      </c>
    </row>
    <row r="69" spans="1:5" x14ac:dyDescent="0.25">
      <c r="A69" s="59" t="s">
        <v>304</v>
      </c>
      <c r="B69" s="51">
        <v>43780</v>
      </c>
      <c r="C69" s="51">
        <v>43780</v>
      </c>
      <c r="D69" s="51">
        <v>43815</v>
      </c>
      <c r="E69" s="51">
        <v>43847</v>
      </c>
    </row>
    <row r="70" spans="1:5" x14ac:dyDescent="0.25">
      <c r="A70" s="59" t="s">
        <v>305</v>
      </c>
      <c r="B70" s="51">
        <v>43815</v>
      </c>
      <c r="C70" s="51" t="s">
        <v>210</v>
      </c>
      <c r="D70" s="51">
        <v>43843</v>
      </c>
      <c r="E70" s="51">
        <v>43847</v>
      </c>
    </row>
    <row r="71" spans="1:5" x14ac:dyDescent="0.25">
      <c r="A71" s="59" t="s">
        <v>306</v>
      </c>
      <c r="B71" s="51">
        <v>43808</v>
      </c>
      <c r="C71" s="51">
        <v>43808</v>
      </c>
      <c r="D71" s="51">
        <v>43843</v>
      </c>
      <c r="E71" s="51">
        <v>43861</v>
      </c>
    </row>
    <row r="72" spans="1:5" x14ac:dyDescent="0.25">
      <c r="A72" s="59" t="s">
        <v>307</v>
      </c>
      <c r="B72" s="51">
        <v>43801</v>
      </c>
      <c r="C72" s="51">
        <v>43794</v>
      </c>
      <c r="D72" s="51">
        <v>43843</v>
      </c>
      <c r="E72" s="51">
        <v>43864</v>
      </c>
    </row>
    <row r="73" spans="1:5" x14ac:dyDescent="0.25">
      <c r="A73" s="59" t="s">
        <v>308</v>
      </c>
      <c r="B73" s="51">
        <v>43794</v>
      </c>
      <c r="C73" s="51">
        <v>43794</v>
      </c>
      <c r="D73" s="51">
        <v>43843</v>
      </c>
      <c r="E73" s="51">
        <v>43875</v>
      </c>
    </row>
    <row r="74" spans="1:5" x14ac:dyDescent="0.25">
      <c r="A74" s="59" t="s">
        <v>309</v>
      </c>
      <c r="B74" s="51">
        <v>43843</v>
      </c>
      <c r="C74" s="51" t="s">
        <v>210</v>
      </c>
      <c r="D74" s="51">
        <v>43857</v>
      </c>
      <c r="E74" s="51">
        <v>43861</v>
      </c>
    </row>
    <row r="75" spans="1:5" x14ac:dyDescent="0.25">
      <c r="A75" s="59" t="s">
        <v>310</v>
      </c>
      <c r="B75" s="51">
        <v>43836</v>
      </c>
      <c r="C75" s="51">
        <v>43822</v>
      </c>
      <c r="D75" s="51">
        <v>43857</v>
      </c>
      <c r="E75" s="51">
        <v>43875</v>
      </c>
    </row>
    <row r="76" spans="1:5" x14ac:dyDescent="0.25">
      <c r="A76" s="59" t="s">
        <v>311</v>
      </c>
      <c r="B76" s="51">
        <v>43815</v>
      </c>
      <c r="C76" s="51">
        <v>43808</v>
      </c>
      <c r="D76" s="51">
        <v>43857</v>
      </c>
      <c r="E76" s="51">
        <v>43878</v>
      </c>
    </row>
    <row r="77" spans="1:5" x14ac:dyDescent="0.25">
      <c r="A77" s="59" t="s">
        <v>312</v>
      </c>
      <c r="B77" s="51">
        <v>43808</v>
      </c>
      <c r="C77" s="51">
        <v>43808</v>
      </c>
      <c r="D77" s="51">
        <v>43857</v>
      </c>
      <c r="E77" s="51">
        <v>43889</v>
      </c>
    </row>
    <row r="78" spans="1:5" x14ac:dyDescent="0.25">
      <c r="A78" s="59" t="s">
        <v>313</v>
      </c>
      <c r="B78" s="51">
        <v>43857</v>
      </c>
      <c r="C78" s="51" t="s">
        <v>210</v>
      </c>
      <c r="D78" s="51">
        <v>43871</v>
      </c>
      <c r="E78" s="51">
        <v>43875</v>
      </c>
    </row>
    <row r="79" spans="1:5" x14ac:dyDescent="0.25">
      <c r="A79" s="59" t="s">
        <v>314</v>
      </c>
      <c r="B79" s="51">
        <v>43850</v>
      </c>
      <c r="C79" s="51">
        <v>43850</v>
      </c>
      <c r="D79" s="51">
        <v>43871</v>
      </c>
      <c r="E79" s="51">
        <v>43889</v>
      </c>
    </row>
    <row r="80" spans="1:5" x14ac:dyDescent="0.25">
      <c r="A80" s="59" t="s">
        <v>315</v>
      </c>
      <c r="B80" s="51">
        <v>43843</v>
      </c>
      <c r="C80" s="51">
        <v>43822</v>
      </c>
      <c r="D80" s="51">
        <v>43871</v>
      </c>
      <c r="E80" s="51">
        <v>43892</v>
      </c>
    </row>
    <row r="81" spans="1:5" x14ac:dyDescent="0.25">
      <c r="A81" s="59" t="s">
        <v>316</v>
      </c>
      <c r="B81" s="51">
        <v>43836</v>
      </c>
      <c r="C81" s="51">
        <v>43836</v>
      </c>
      <c r="D81" s="51">
        <v>43871</v>
      </c>
      <c r="E81" s="51">
        <v>43903</v>
      </c>
    </row>
    <row r="82" spans="1:5" x14ac:dyDescent="0.25">
      <c r="A82" s="59" t="s">
        <v>317</v>
      </c>
      <c r="B82" s="51">
        <v>43871</v>
      </c>
      <c r="C82" s="51" t="s">
        <v>210</v>
      </c>
      <c r="D82" s="51">
        <v>43885</v>
      </c>
      <c r="E82" s="51">
        <v>43889</v>
      </c>
    </row>
    <row r="83" spans="1:5" x14ac:dyDescent="0.25">
      <c r="A83" s="59" t="s">
        <v>318</v>
      </c>
      <c r="B83" s="51">
        <v>43864</v>
      </c>
      <c r="C83" s="51">
        <v>43864</v>
      </c>
      <c r="D83" s="51">
        <v>43885</v>
      </c>
      <c r="E83" s="51">
        <v>43903</v>
      </c>
    </row>
    <row r="84" spans="1:5" x14ac:dyDescent="0.25">
      <c r="A84" s="59" t="s">
        <v>319</v>
      </c>
      <c r="B84" s="51">
        <v>43857</v>
      </c>
      <c r="C84" s="51">
        <v>43850</v>
      </c>
      <c r="D84" s="51">
        <v>43885</v>
      </c>
      <c r="E84" s="51">
        <v>43906</v>
      </c>
    </row>
    <row r="85" spans="1:5" x14ac:dyDescent="0.25">
      <c r="A85" s="59" t="s">
        <v>320</v>
      </c>
      <c r="B85" s="51">
        <v>43850</v>
      </c>
      <c r="C85" s="51">
        <v>43850</v>
      </c>
      <c r="D85" s="51">
        <v>43885</v>
      </c>
      <c r="E85" s="51">
        <v>43917</v>
      </c>
    </row>
    <row r="86" spans="1:5" x14ac:dyDescent="0.25">
      <c r="A86" s="59" t="s">
        <v>321</v>
      </c>
      <c r="B86" s="51">
        <v>43885</v>
      </c>
      <c r="C86" s="51" t="s">
        <v>210</v>
      </c>
      <c r="D86" s="51">
        <v>43899</v>
      </c>
      <c r="E86" s="51">
        <v>43903</v>
      </c>
    </row>
    <row r="87" spans="1:5" x14ac:dyDescent="0.25">
      <c r="A87" s="59" t="s">
        <v>322</v>
      </c>
      <c r="B87" s="51">
        <v>43878</v>
      </c>
      <c r="C87" s="51">
        <v>43878</v>
      </c>
      <c r="D87" s="51">
        <v>43899</v>
      </c>
      <c r="E87" s="51">
        <v>43917</v>
      </c>
    </row>
    <row r="88" spans="1:5" x14ac:dyDescent="0.25">
      <c r="A88" s="59" t="s">
        <v>323</v>
      </c>
      <c r="B88" s="51">
        <v>43871</v>
      </c>
      <c r="C88" s="51">
        <v>43864</v>
      </c>
      <c r="D88" s="51">
        <v>43899</v>
      </c>
      <c r="E88" s="51">
        <v>43920</v>
      </c>
    </row>
    <row r="89" spans="1:5" x14ac:dyDescent="0.25">
      <c r="A89" s="59" t="s">
        <v>324</v>
      </c>
      <c r="B89" s="51">
        <v>43864</v>
      </c>
      <c r="C89" s="51">
        <v>43864</v>
      </c>
      <c r="D89" s="51">
        <v>43899</v>
      </c>
      <c r="E89" s="51">
        <v>43931</v>
      </c>
    </row>
    <row r="90" spans="1:5" x14ac:dyDescent="0.25">
      <c r="A90" s="59" t="s">
        <v>325</v>
      </c>
      <c r="B90" s="51">
        <v>43899</v>
      </c>
      <c r="C90" s="51" t="s">
        <v>210</v>
      </c>
      <c r="D90" s="51">
        <v>43913</v>
      </c>
      <c r="E90" s="51">
        <v>43917</v>
      </c>
    </row>
    <row r="91" spans="1:5" x14ac:dyDescent="0.25">
      <c r="A91" s="59" t="s">
        <v>326</v>
      </c>
      <c r="B91" s="51">
        <v>43892</v>
      </c>
      <c r="C91" s="51">
        <v>43892</v>
      </c>
      <c r="D91" s="51">
        <v>43913</v>
      </c>
      <c r="E91" s="51">
        <v>43931</v>
      </c>
    </row>
    <row r="92" spans="1:5" x14ac:dyDescent="0.25">
      <c r="A92" s="59" t="s">
        <v>327</v>
      </c>
      <c r="B92" s="51">
        <v>43885</v>
      </c>
      <c r="C92" s="51">
        <v>43878</v>
      </c>
      <c r="D92" s="51">
        <v>43913</v>
      </c>
      <c r="E92" s="51">
        <v>43934</v>
      </c>
    </row>
    <row r="93" spans="1:5" x14ac:dyDescent="0.25">
      <c r="A93" s="59" t="s">
        <v>328</v>
      </c>
      <c r="B93" s="51">
        <v>43878</v>
      </c>
      <c r="C93" s="51">
        <v>43878</v>
      </c>
      <c r="D93" s="51">
        <v>43913</v>
      </c>
      <c r="E93" s="51">
        <v>43945</v>
      </c>
    </row>
    <row r="94" spans="1:5" x14ac:dyDescent="0.25">
      <c r="A94" s="59" t="s">
        <v>329</v>
      </c>
      <c r="B94" s="51">
        <v>43913</v>
      </c>
      <c r="C94" s="51" t="s">
        <v>210</v>
      </c>
      <c r="D94" s="51">
        <v>43927</v>
      </c>
      <c r="E94" s="51">
        <v>43931</v>
      </c>
    </row>
    <row r="95" spans="1:5" x14ac:dyDescent="0.25">
      <c r="A95" s="59" t="s">
        <v>330</v>
      </c>
      <c r="B95" s="51">
        <v>43906</v>
      </c>
      <c r="C95" s="51">
        <v>43906</v>
      </c>
      <c r="D95" s="51">
        <v>43927</v>
      </c>
      <c r="E95" s="51">
        <v>43945</v>
      </c>
    </row>
    <row r="96" spans="1:5" x14ac:dyDescent="0.25">
      <c r="A96" s="59" t="s">
        <v>331</v>
      </c>
      <c r="B96" s="51">
        <v>43899</v>
      </c>
      <c r="C96" s="51">
        <v>43892</v>
      </c>
      <c r="D96" s="51">
        <v>43927</v>
      </c>
      <c r="E96" s="51">
        <v>43948</v>
      </c>
    </row>
    <row r="97" spans="1:5" x14ac:dyDescent="0.25">
      <c r="A97" s="59" t="s">
        <v>332</v>
      </c>
      <c r="B97" s="51">
        <v>43892</v>
      </c>
      <c r="C97" s="51">
        <v>43892</v>
      </c>
      <c r="D97" s="51">
        <v>43927</v>
      </c>
      <c r="E97" s="51">
        <v>43959</v>
      </c>
    </row>
    <row r="98" spans="1:5" x14ac:dyDescent="0.25">
      <c r="A98" s="59" t="s">
        <v>333</v>
      </c>
      <c r="B98" s="51">
        <v>43927</v>
      </c>
      <c r="C98" s="51" t="s">
        <v>210</v>
      </c>
      <c r="D98" s="51">
        <v>43941</v>
      </c>
      <c r="E98" s="51">
        <v>43945</v>
      </c>
    </row>
    <row r="99" spans="1:5" x14ac:dyDescent="0.25">
      <c r="A99" s="59" t="s">
        <v>334</v>
      </c>
      <c r="B99" s="51">
        <v>43920</v>
      </c>
      <c r="C99" s="51">
        <v>43920</v>
      </c>
      <c r="D99" s="51">
        <v>43941</v>
      </c>
      <c r="E99" s="51">
        <v>43959</v>
      </c>
    </row>
    <row r="100" spans="1:5" x14ac:dyDescent="0.25">
      <c r="A100" s="59" t="s">
        <v>335</v>
      </c>
      <c r="B100" s="51">
        <v>43913</v>
      </c>
      <c r="C100" s="51">
        <v>43906</v>
      </c>
      <c r="D100" s="51">
        <v>43941</v>
      </c>
      <c r="E100" s="51">
        <v>43962</v>
      </c>
    </row>
    <row r="101" spans="1:5" x14ac:dyDescent="0.25">
      <c r="A101" s="59" t="s">
        <v>336</v>
      </c>
      <c r="B101" s="51">
        <v>43906</v>
      </c>
      <c r="C101" s="51">
        <v>43906</v>
      </c>
      <c r="D101" s="51">
        <v>43941</v>
      </c>
      <c r="E101" s="51">
        <v>43973</v>
      </c>
    </row>
    <row r="102" spans="1:5" x14ac:dyDescent="0.25">
      <c r="A102" s="59" t="s">
        <v>337</v>
      </c>
      <c r="B102" s="51">
        <v>43941</v>
      </c>
      <c r="C102" s="51" t="s">
        <v>210</v>
      </c>
      <c r="D102" s="51">
        <v>43955</v>
      </c>
      <c r="E102" s="51">
        <v>43959</v>
      </c>
    </row>
    <row r="103" spans="1:5" x14ac:dyDescent="0.25">
      <c r="A103" s="59" t="s">
        <v>338</v>
      </c>
      <c r="B103" s="51">
        <v>43934</v>
      </c>
      <c r="C103" s="51">
        <v>43934</v>
      </c>
      <c r="D103" s="51">
        <v>43955</v>
      </c>
      <c r="E103" s="51">
        <v>43973</v>
      </c>
    </row>
    <row r="104" spans="1:5" x14ac:dyDescent="0.25">
      <c r="A104" s="59" t="s">
        <v>339</v>
      </c>
      <c r="B104" s="51">
        <v>43927</v>
      </c>
      <c r="C104" s="51">
        <v>43920</v>
      </c>
      <c r="D104" s="51">
        <v>43955</v>
      </c>
      <c r="E104" s="51">
        <v>43976</v>
      </c>
    </row>
    <row r="105" spans="1:5" x14ac:dyDescent="0.25">
      <c r="A105" s="59" t="s">
        <v>340</v>
      </c>
      <c r="B105" s="51">
        <v>43920</v>
      </c>
      <c r="C105" s="51">
        <v>43920</v>
      </c>
      <c r="D105" s="51">
        <v>43955</v>
      </c>
      <c r="E105" s="51">
        <v>43987</v>
      </c>
    </row>
    <row r="106" spans="1:5" x14ac:dyDescent="0.25">
      <c r="A106" s="59" t="s">
        <v>341</v>
      </c>
      <c r="B106" s="51">
        <v>43955</v>
      </c>
      <c r="C106" s="51" t="s">
        <v>210</v>
      </c>
      <c r="D106" s="51">
        <v>43969</v>
      </c>
      <c r="E106" s="51">
        <v>43973</v>
      </c>
    </row>
    <row r="107" spans="1:5" x14ac:dyDescent="0.25">
      <c r="A107" s="59" t="s">
        <v>342</v>
      </c>
      <c r="B107" s="51">
        <v>43948</v>
      </c>
      <c r="C107" s="51">
        <v>43948</v>
      </c>
      <c r="D107" s="51">
        <v>43969</v>
      </c>
      <c r="E107" s="51">
        <v>43987</v>
      </c>
    </row>
    <row r="108" spans="1:5" x14ac:dyDescent="0.25">
      <c r="A108" s="59" t="s">
        <v>343</v>
      </c>
      <c r="B108" s="51">
        <v>43941</v>
      </c>
      <c r="C108" s="51">
        <v>43934</v>
      </c>
      <c r="D108" s="51">
        <v>43969</v>
      </c>
      <c r="E108" s="51">
        <v>43990</v>
      </c>
    </row>
    <row r="109" spans="1:5" x14ac:dyDescent="0.25">
      <c r="A109" s="59" t="s">
        <v>344</v>
      </c>
      <c r="B109" s="51">
        <v>43934</v>
      </c>
      <c r="C109" s="51">
        <v>43934</v>
      </c>
      <c r="D109" s="51">
        <v>43969</v>
      </c>
      <c r="E109" s="51">
        <v>44001</v>
      </c>
    </row>
    <row r="110" spans="1:5" x14ac:dyDescent="0.25">
      <c r="A110" s="59" t="s">
        <v>345</v>
      </c>
      <c r="B110" s="51">
        <v>43969</v>
      </c>
      <c r="C110" s="51" t="s">
        <v>210</v>
      </c>
      <c r="D110" s="51">
        <v>43983</v>
      </c>
      <c r="E110" s="51">
        <v>43987</v>
      </c>
    </row>
    <row r="111" spans="1:5" x14ac:dyDescent="0.25">
      <c r="A111" s="59" t="s">
        <v>346</v>
      </c>
      <c r="B111" s="51">
        <v>43962</v>
      </c>
      <c r="C111" s="51">
        <v>43962</v>
      </c>
      <c r="D111" s="51">
        <v>43983</v>
      </c>
      <c r="E111" s="51">
        <v>44001</v>
      </c>
    </row>
    <row r="112" spans="1:5" x14ac:dyDescent="0.25">
      <c r="A112" s="59" t="s">
        <v>347</v>
      </c>
      <c r="B112" s="51">
        <v>43955</v>
      </c>
      <c r="C112" s="51">
        <v>43948</v>
      </c>
      <c r="D112" s="51">
        <v>43983</v>
      </c>
      <c r="E112" s="51">
        <v>44004</v>
      </c>
    </row>
    <row r="113" spans="1:5" x14ac:dyDescent="0.25">
      <c r="A113" s="59" t="s">
        <v>348</v>
      </c>
      <c r="B113" s="51">
        <v>43948</v>
      </c>
      <c r="C113" s="51">
        <v>43948</v>
      </c>
      <c r="D113" s="51">
        <v>43983</v>
      </c>
      <c r="E113" s="51">
        <v>44015</v>
      </c>
    </row>
    <row r="114" spans="1:5" x14ac:dyDescent="0.25">
      <c r="A114" s="59" t="s">
        <v>349</v>
      </c>
      <c r="B114" s="51">
        <v>43983</v>
      </c>
      <c r="C114" s="51" t="s">
        <v>210</v>
      </c>
      <c r="D114" s="51">
        <v>43997</v>
      </c>
      <c r="E114" s="51">
        <v>44001</v>
      </c>
    </row>
    <row r="115" spans="1:5" x14ac:dyDescent="0.25">
      <c r="A115" s="59" t="s">
        <v>350</v>
      </c>
      <c r="B115" s="51">
        <v>43976</v>
      </c>
      <c r="C115" s="51">
        <v>43976</v>
      </c>
      <c r="D115" s="51">
        <v>43997</v>
      </c>
      <c r="E115" s="51">
        <v>44015</v>
      </c>
    </row>
    <row r="116" spans="1:5" x14ac:dyDescent="0.25">
      <c r="A116" s="59" t="s">
        <v>351</v>
      </c>
      <c r="B116" s="51">
        <v>43969</v>
      </c>
      <c r="C116" s="51">
        <v>43962</v>
      </c>
      <c r="D116" s="51">
        <v>43997</v>
      </c>
      <c r="E116" s="51">
        <v>44018</v>
      </c>
    </row>
    <row r="117" spans="1:5" x14ac:dyDescent="0.25">
      <c r="A117" s="59" t="s">
        <v>352</v>
      </c>
      <c r="B117" s="51">
        <v>43962</v>
      </c>
      <c r="C117" s="51">
        <v>43962</v>
      </c>
      <c r="D117" s="51">
        <v>43997</v>
      </c>
      <c r="E117" s="51">
        <v>44029</v>
      </c>
    </row>
    <row r="118" spans="1:5" x14ac:dyDescent="0.25">
      <c r="A118" s="59" t="s">
        <v>353</v>
      </c>
      <c r="B118" s="51">
        <v>43997</v>
      </c>
      <c r="C118" s="51" t="s">
        <v>210</v>
      </c>
      <c r="D118" s="51">
        <v>44011</v>
      </c>
      <c r="E118" s="51">
        <v>44015</v>
      </c>
    </row>
    <row r="119" spans="1:5" x14ac:dyDescent="0.25">
      <c r="A119" s="59" t="s">
        <v>354</v>
      </c>
      <c r="B119" s="51">
        <v>43990</v>
      </c>
      <c r="C119" s="51">
        <v>43990</v>
      </c>
      <c r="D119" s="51">
        <v>44011</v>
      </c>
      <c r="E119" s="51">
        <v>44029</v>
      </c>
    </row>
    <row r="120" spans="1:5" x14ac:dyDescent="0.25">
      <c r="A120" s="59" t="s">
        <v>355</v>
      </c>
      <c r="B120" s="51">
        <v>43983</v>
      </c>
      <c r="C120" s="51">
        <v>43976</v>
      </c>
      <c r="D120" s="51">
        <v>44011</v>
      </c>
      <c r="E120" s="51">
        <v>44032</v>
      </c>
    </row>
    <row r="121" spans="1:5" x14ac:dyDescent="0.25">
      <c r="A121" s="59" t="s">
        <v>356</v>
      </c>
      <c r="B121" s="51">
        <v>43976</v>
      </c>
      <c r="C121" s="51">
        <v>43976</v>
      </c>
      <c r="D121" s="51">
        <v>44011</v>
      </c>
      <c r="E121" s="51">
        <v>44043</v>
      </c>
    </row>
    <row r="122" spans="1:5" x14ac:dyDescent="0.25">
      <c r="A122" s="59" t="s">
        <v>357</v>
      </c>
      <c r="B122" s="51">
        <v>44011</v>
      </c>
      <c r="C122" s="51" t="s">
        <v>210</v>
      </c>
      <c r="D122" s="51">
        <v>44025</v>
      </c>
      <c r="E122" s="51">
        <v>44029</v>
      </c>
    </row>
    <row r="123" spans="1:5" x14ac:dyDescent="0.25">
      <c r="A123" s="59" t="s">
        <v>358</v>
      </c>
      <c r="B123" s="51">
        <v>44004</v>
      </c>
      <c r="C123" s="51">
        <v>44004</v>
      </c>
      <c r="D123" s="51">
        <v>44025</v>
      </c>
      <c r="E123" s="51">
        <v>44043</v>
      </c>
    </row>
    <row r="124" spans="1:5" x14ac:dyDescent="0.25">
      <c r="A124" s="59" t="s">
        <v>359</v>
      </c>
      <c r="B124" s="51">
        <v>43997</v>
      </c>
      <c r="C124" s="51">
        <v>43990</v>
      </c>
      <c r="D124" s="51">
        <v>44025</v>
      </c>
      <c r="E124" s="51">
        <v>44046</v>
      </c>
    </row>
    <row r="125" spans="1:5" x14ac:dyDescent="0.25">
      <c r="A125" s="59" t="s">
        <v>360</v>
      </c>
      <c r="B125" s="51">
        <v>43990</v>
      </c>
      <c r="C125" s="51">
        <v>43990</v>
      </c>
      <c r="D125" s="51">
        <v>44025</v>
      </c>
      <c r="E125" s="51">
        <v>44057</v>
      </c>
    </row>
    <row r="126" spans="1:5" x14ac:dyDescent="0.25">
      <c r="A126" s="59" t="s">
        <v>361</v>
      </c>
      <c r="B126" s="51">
        <v>44025</v>
      </c>
      <c r="C126" s="51" t="s">
        <v>210</v>
      </c>
      <c r="D126" s="51">
        <v>44039</v>
      </c>
      <c r="E126" s="51">
        <v>44043</v>
      </c>
    </row>
    <row r="127" spans="1:5" x14ac:dyDescent="0.25">
      <c r="A127" s="59" t="s">
        <v>362</v>
      </c>
      <c r="B127" s="51">
        <v>44018</v>
      </c>
      <c r="C127" s="51">
        <v>44018</v>
      </c>
      <c r="D127" s="51">
        <v>44039</v>
      </c>
      <c r="E127" s="51">
        <v>44057</v>
      </c>
    </row>
    <row r="128" spans="1:5" x14ac:dyDescent="0.25">
      <c r="A128" s="59" t="s">
        <v>363</v>
      </c>
      <c r="B128" s="51">
        <v>44011</v>
      </c>
      <c r="C128" s="51">
        <v>44004</v>
      </c>
      <c r="D128" s="51">
        <v>44039</v>
      </c>
      <c r="E128" s="51">
        <v>44060</v>
      </c>
    </row>
    <row r="129" spans="1:5" x14ac:dyDescent="0.25">
      <c r="A129" s="59" t="s">
        <v>364</v>
      </c>
      <c r="B129" s="51">
        <v>44004</v>
      </c>
      <c r="C129" s="51">
        <v>44004</v>
      </c>
      <c r="D129" s="51">
        <v>44039</v>
      </c>
      <c r="E129" s="51">
        <v>44071</v>
      </c>
    </row>
    <row r="130" spans="1:5" x14ac:dyDescent="0.25">
      <c r="A130" s="59" t="s">
        <v>365</v>
      </c>
      <c r="B130" s="51">
        <v>44039</v>
      </c>
      <c r="C130" s="51" t="s">
        <v>210</v>
      </c>
      <c r="D130" s="51">
        <v>44053</v>
      </c>
      <c r="E130" s="51">
        <v>44057</v>
      </c>
    </row>
    <row r="131" spans="1:5" x14ac:dyDescent="0.25">
      <c r="A131" s="59" t="s">
        <v>366</v>
      </c>
      <c r="B131" s="51">
        <v>44032</v>
      </c>
      <c r="C131" s="51">
        <v>44032</v>
      </c>
      <c r="D131" s="51">
        <v>44053</v>
      </c>
      <c r="E131" s="51">
        <v>44071</v>
      </c>
    </row>
    <row r="132" spans="1:5" x14ac:dyDescent="0.25">
      <c r="A132" s="59" t="s">
        <v>367</v>
      </c>
      <c r="B132" s="51">
        <v>44025</v>
      </c>
      <c r="C132" s="51">
        <v>44018</v>
      </c>
      <c r="D132" s="51">
        <v>44053</v>
      </c>
      <c r="E132" s="51">
        <v>44074</v>
      </c>
    </row>
    <row r="133" spans="1:5" x14ac:dyDescent="0.25">
      <c r="A133" s="59" t="s">
        <v>368</v>
      </c>
      <c r="B133" s="51">
        <v>44018</v>
      </c>
      <c r="C133" s="51">
        <v>44018</v>
      </c>
      <c r="D133" s="51">
        <v>44053</v>
      </c>
      <c r="E133" s="51">
        <v>44085</v>
      </c>
    </row>
    <row r="134" spans="1:5" x14ac:dyDescent="0.25">
      <c r="A134" s="59" t="s">
        <v>369</v>
      </c>
      <c r="B134" s="51">
        <v>44053</v>
      </c>
      <c r="C134" s="51" t="s">
        <v>210</v>
      </c>
      <c r="D134" s="51">
        <v>44067</v>
      </c>
      <c r="E134" s="51">
        <v>44071</v>
      </c>
    </row>
    <row r="135" spans="1:5" x14ac:dyDescent="0.25">
      <c r="A135" s="59" t="s">
        <v>370</v>
      </c>
      <c r="B135" s="51">
        <v>44046</v>
      </c>
      <c r="C135" s="51">
        <v>44046</v>
      </c>
      <c r="D135" s="51">
        <v>44067</v>
      </c>
      <c r="E135" s="51">
        <v>44085</v>
      </c>
    </row>
    <row r="136" spans="1:5" x14ac:dyDescent="0.25">
      <c r="A136" s="59" t="s">
        <v>371</v>
      </c>
      <c r="B136" s="51">
        <v>44039</v>
      </c>
      <c r="C136" s="51">
        <v>44032</v>
      </c>
      <c r="D136" s="51">
        <v>44067</v>
      </c>
      <c r="E136" s="51">
        <v>44088</v>
      </c>
    </row>
    <row r="137" spans="1:5" x14ac:dyDescent="0.25">
      <c r="A137" s="59" t="s">
        <v>372</v>
      </c>
      <c r="B137" s="51">
        <v>44032</v>
      </c>
      <c r="C137" s="51">
        <v>44032</v>
      </c>
      <c r="D137" s="51">
        <v>44067</v>
      </c>
      <c r="E137" s="51">
        <v>44099</v>
      </c>
    </row>
    <row r="138" spans="1:5" x14ac:dyDescent="0.25">
      <c r="A138" s="59" t="s">
        <v>373</v>
      </c>
      <c r="B138" s="51">
        <v>44067</v>
      </c>
      <c r="C138" s="51" t="s">
        <v>210</v>
      </c>
      <c r="D138" s="51">
        <v>44081</v>
      </c>
      <c r="E138" s="51">
        <v>44085</v>
      </c>
    </row>
    <row r="139" spans="1:5" x14ac:dyDescent="0.25">
      <c r="A139" s="59" t="s">
        <v>374</v>
      </c>
      <c r="B139" s="51">
        <v>44060</v>
      </c>
      <c r="C139" s="51">
        <v>44060</v>
      </c>
      <c r="D139" s="51">
        <v>44081</v>
      </c>
      <c r="E139" s="51">
        <v>44099</v>
      </c>
    </row>
    <row r="140" spans="1:5" x14ac:dyDescent="0.25">
      <c r="A140" s="59" t="s">
        <v>375</v>
      </c>
      <c r="B140" s="51">
        <v>44053</v>
      </c>
      <c r="C140" s="51">
        <v>44046</v>
      </c>
      <c r="D140" s="51">
        <v>44081</v>
      </c>
      <c r="E140" s="51">
        <v>44102</v>
      </c>
    </row>
    <row r="141" spans="1:5" x14ac:dyDescent="0.25">
      <c r="A141" s="59" t="s">
        <v>376</v>
      </c>
      <c r="B141" s="51">
        <v>44046</v>
      </c>
      <c r="C141" s="51">
        <v>44046</v>
      </c>
      <c r="D141" s="51">
        <v>44081</v>
      </c>
      <c r="E141" s="51">
        <v>44113</v>
      </c>
    </row>
    <row r="142" spans="1:5" x14ac:dyDescent="0.25">
      <c r="A142" s="59" t="s">
        <v>377</v>
      </c>
      <c r="B142" s="51">
        <v>44081</v>
      </c>
      <c r="C142" s="51" t="s">
        <v>210</v>
      </c>
      <c r="D142" s="51">
        <v>44095</v>
      </c>
      <c r="E142" s="51">
        <v>44099</v>
      </c>
    </row>
    <row r="143" spans="1:5" x14ac:dyDescent="0.25">
      <c r="A143" s="59" t="s">
        <v>378</v>
      </c>
      <c r="B143" s="51">
        <v>44074</v>
      </c>
      <c r="C143" s="51">
        <v>44074</v>
      </c>
      <c r="D143" s="51">
        <v>44095</v>
      </c>
      <c r="E143" s="51">
        <v>44113</v>
      </c>
    </row>
    <row r="144" spans="1:5" x14ac:dyDescent="0.25">
      <c r="A144" s="59" t="s">
        <v>379</v>
      </c>
      <c r="B144" s="51">
        <v>44067</v>
      </c>
      <c r="C144" s="51">
        <v>44060</v>
      </c>
      <c r="D144" s="51">
        <v>44095</v>
      </c>
      <c r="E144" s="51">
        <v>44116</v>
      </c>
    </row>
    <row r="145" spans="1:5" x14ac:dyDescent="0.25">
      <c r="A145" s="59" t="s">
        <v>380</v>
      </c>
      <c r="B145" s="51">
        <v>44060</v>
      </c>
      <c r="C145" s="51">
        <v>44060</v>
      </c>
      <c r="D145" s="51">
        <v>44095</v>
      </c>
      <c r="E145" s="51">
        <v>44127</v>
      </c>
    </row>
    <row r="146" spans="1:5" x14ac:dyDescent="0.25">
      <c r="A146" s="59" t="s">
        <v>381</v>
      </c>
      <c r="B146" s="51">
        <v>44095</v>
      </c>
      <c r="C146" s="51" t="s">
        <v>210</v>
      </c>
      <c r="D146" s="51">
        <v>44109</v>
      </c>
      <c r="E146" s="51">
        <v>44113</v>
      </c>
    </row>
    <row r="147" spans="1:5" x14ac:dyDescent="0.25">
      <c r="A147" s="59" t="s">
        <v>382</v>
      </c>
      <c r="B147" s="51">
        <v>44088</v>
      </c>
      <c r="C147" s="51">
        <v>44088</v>
      </c>
      <c r="D147" s="51">
        <v>44109</v>
      </c>
      <c r="E147" s="51">
        <v>44127</v>
      </c>
    </row>
    <row r="148" spans="1:5" x14ac:dyDescent="0.25">
      <c r="A148" s="59" t="s">
        <v>383</v>
      </c>
      <c r="B148" s="51">
        <v>44081</v>
      </c>
      <c r="C148" s="51">
        <v>44074</v>
      </c>
      <c r="D148" s="51">
        <v>44109</v>
      </c>
      <c r="E148" s="51">
        <v>44130</v>
      </c>
    </row>
    <row r="149" spans="1:5" x14ac:dyDescent="0.25">
      <c r="A149" s="59" t="s">
        <v>384</v>
      </c>
      <c r="B149" s="51">
        <v>44074</v>
      </c>
      <c r="C149" s="51">
        <v>44074</v>
      </c>
      <c r="D149" s="51">
        <v>44109</v>
      </c>
      <c r="E149" s="51">
        <v>44141</v>
      </c>
    </row>
    <row r="150" spans="1:5" x14ac:dyDescent="0.25">
      <c r="A150" s="59" t="s">
        <v>385</v>
      </c>
      <c r="B150" s="51">
        <v>44109</v>
      </c>
      <c r="C150" s="51" t="s">
        <v>210</v>
      </c>
      <c r="D150" s="51">
        <v>44123</v>
      </c>
      <c r="E150" s="51">
        <v>44127</v>
      </c>
    </row>
    <row r="151" spans="1:5" x14ac:dyDescent="0.25">
      <c r="A151" s="59" t="s">
        <v>386</v>
      </c>
      <c r="B151" s="51">
        <v>44102</v>
      </c>
      <c r="C151" s="51">
        <v>44102</v>
      </c>
      <c r="D151" s="51">
        <v>44123</v>
      </c>
      <c r="E151" s="51">
        <v>44141</v>
      </c>
    </row>
    <row r="152" spans="1:5" x14ac:dyDescent="0.25">
      <c r="A152" s="59" t="s">
        <v>387</v>
      </c>
      <c r="B152" s="51">
        <v>44095</v>
      </c>
      <c r="C152" s="51">
        <v>44088</v>
      </c>
      <c r="D152" s="51">
        <v>44123</v>
      </c>
      <c r="E152" s="51">
        <v>44144</v>
      </c>
    </row>
    <row r="153" spans="1:5" x14ac:dyDescent="0.25">
      <c r="A153" s="59" t="s">
        <v>388</v>
      </c>
      <c r="B153" s="51">
        <v>44088</v>
      </c>
      <c r="C153" s="51">
        <v>44088</v>
      </c>
      <c r="D153" s="51">
        <v>44123</v>
      </c>
      <c r="E153" s="51">
        <v>44155</v>
      </c>
    </row>
    <row r="154" spans="1:5" x14ac:dyDescent="0.25">
      <c r="A154" s="59" t="s">
        <v>389</v>
      </c>
      <c r="B154" s="51">
        <v>44123</v>
      </c>
      <c r="C154" s="51" t="s">
        <v>210</v>
      </c>
      <c r="D154" s="51">
        <v>44137</v>
      </c>
      <c r="E154" s="51">
        <v>44141</v>
      </c>
    </row>
    <row r="155" spans="1:5" x14ac:dyDescent="0.25">
      <c r="A155" s="59" t="s">
        <v>390</v>
      </c>
      <c r="B155" s="51">
        <v>44116</v>
      </c>
      <c r="C155" s="51">
        <v>44116</v>
      </c>
      <c r="D155" s="51">
        <v>44137</v>
      </c>
      <c r="E155" s="51">
        <v>44155</v>
      </c>
    </row>
    <row r="156" spans="1:5" x14ac:dyDescent="0.25">
      <c r="A156" s="59" t="s">
        <v>391</v>
      </c>
      <c r="B156" s="51">
        <v>44109</v>
      </c>
      <c r="C156" s="51">
        <v>44102</v>
      </c>
      <c r="D156" s="51">
        <v>44137</v>
      </c>
      <c r="E156" s="51">
        <v>44158</v>
      </c>
    </row>
    <row r="157" spans="1:5" x14ac:dyDescent="0.25">
      <c r="A157" s="59" t="s">
        <v>392</v>
      </c>
      <c r="B157" s="51">
        <v>44102</v>
      </c>
      <c r="C157" s="51">
        <v>44102</v>
      </c>
      <c r="D157" s="51">
        <v>44137</v>
      </c>
      <c r="E157" s="51">
        <v>44169</v>
      </c>
    </row>
    <row r="158" spans="1:5" x14ac:dyDescent="0.25">
      <c r="A158" s="59" t="s">
        <v>393</v>
      </c>
      <c r="B158" s="51">
        <v>44137</v>
      </c>
      <c r="C158" s="51" t="s">
        <v>210</v>
      </c>
      <c r="D158" s="51">
        <v>44151</v>
      </c>
      <c r="E158" s="51">
        <v>44155</v>
      </c>
    </row>
    <row r="159" spans="1:5" x14ac:dyDescent="0.25">
      <c r="A159" s="59" t="s">
        <v>394</v>
      </c>
      <c r="B159" s="51">
        <v>44130</v>
      </c>
      <c r="C159" s="51">
        <v>44130</v>
      </c>
      <c r="D159" s="51">
        <v>44151</v>
      </c>
      <c r="E159" s="51">
        <v>44169</v>
      </c>
    </row>
    <row r="160" spans="1:5" x14ac:dyDescent="0.25">
      <c r="A160" s="59" t="s">
        <v>395</v>
      </c>
      <c r="B160" s="51">
        <v>44123</v>
      </c>
      <c r="C160" s="51">
        <v>44116</v>
      </c>
      <c r="D160" s="51">
        <v>44151</v>
      </c>
      <c r="E160" s="51">
        <v>44172</v>
      </c>
    </row>
    <row r="161" spans="1:5" x14ac:dyDescent="0.25">
      <c r="A161" s="59" t="s">
        <v>396</v>
      </c>
      <c r="B161" s="51">
        <v>44116</v>
      </c>
      <c r="C161" s="51">
        <v>44116</v>
      </c>
      <c r="D161" s="51">
        <v>44151</v>
      </c>
      <c r="E161" s="51">
        <v>44183</v>
      </c>
    </row>
    <row r="162" spans="1:5" x14ac:dyDescent="0.25">
      <c r="A162" s="59" t="s">
        <v>397</v>
      </c>
      <c r="B162" s="51">
        <v>44151</v>
      </c>
      <c r="C162" s="51" t="s">
        <v>210</v>
      </c>
      <c r="D162" s="51">
        <v>44165</v>
      </c>
      <c r="E162" s="51">
        <v>44169</v>
      </c>
    </row>
    <row r="163" spans="1:5" x14ac:dyDescent="0.25">
      <c r="A163" s="59" t="s">
        <v>398</v>
      </c>
      <c r="B163" s="51">
        <v>44144</v>
      </c>
      <c r="C163" s="51">
        <v>44144</v>
      </c>
      <c r="D163" s="51">
        <v>44165</v>
      </c>
      <c r="E163" s="51">
        <v>44183</v>
      </c>
    </row>
    <row r="164" spans="1:5" x14ac:dyDescent="0.25">
      <c r="A164" s="59" t="s">
        <v>399</v>
      </c>
      <c r="B164" s="51">
        <v>44137</v>
      </c>
      <c r="C164" s="51">
        <v>44130</v>
      </c>
      <c r="D164" s="51">
        <v>44165</v>
      </c>
      <c r="E164" s="51">
        <v>44186</v>
      </c>
    </row>
    <row r="165" spans="1:5" x14ac:dyDescent="0.25">
      <c r="A165" s="59" t="s">
        <v>400</v>
      </c>
      <c r="B165" s="51">
        <v>44130</v>
      </c>
      <c r="C165" s="51">
        <v>44130</v>
      </c>
      <c r="D165" s="51">
        <v>44165</v>
      </c>
      <c r="E165" s="51">
        <v>44197</v>
      </c>
    </row>
    <row r="166" spans="1:5" x14ac:dyDescent="0.25">
      <c r="A166" s="59" t="s">
        <v>401</v>
      </c>
      <c r="B166" s="51">
        <v>44165</v>
      </c>
      <c r="C166" s="51" t="s">
        <v>210</v>
      </c>
      <c r="D166" s="51">
        <v>44179</v>
      </c>
      <c r="E166" s="51">
        <v>44183</v>
      </c>
    </row>
    <row r="167" spans="1:5" x14ac:dyDescent="0.25">
      <c r="A167" s="59" t="s">
        <v>402</v>
      </c>
      <c r="B167" s="51">
        <v>44158</v>
      </c>
      <c r="C167" s="51">
        <v>44158</v>
      </c>
      <c r="D167" s="51">
        <v>44179</v>
      </c>
      <c r="E167" s="51">
        <v>44197</v>
      </c>
    </row>
    <row r="168" spans="1:5" x14ac:dyDescent="0.25">
      <c r="A168" s="59" t="s">
        <v>403</v>
      </c>
      <c r="B168" s="51">
        <v>44151</v>
      </c>
      <c r="C168" s="51">
        <v>44144</v>
      </c>
      <c r="D168" s="51">
        <v>44179</v>
      </c>
      <c r="E168" s="51">
        <v>44200</v>
      </c>
    </row>
    <row r="169" spans="1:5" x14ac:dyDescent="0.25">
      <c r="A169" s="59" t="s">
        <v>404</v>
      </c>
      <c r="B169" s="51">
        <v>44144</v>
      </c>
      <c r="C169" s="51">
        <v>44144</v>
      </c>
      <c r="D169" s="51">
        <v>44179</v>
      </c>
      <c r="E169" s="51">
        <v>44211</v>
      </c>
    </row>
    <row r="170" spans="1:5" x14ac:dyDescent="0.25">
      <c r="A170" s="59" t="s">
        <v>405</v>
      </c>
      <c r="B170" s="51">
        <v>44179</v>
      </c>
      <c r="C170" s="51" t="s">
        <v>210</v>
      </c>
      <c r="D170" s="51">
        <v>44207</v>
      </c>
      <c r="E170" s="51">
        <v>44211</v>
      </c>
    </row>
    <row r="171" spans="1:5" x14ac:dyDescent="0.25">
      <c r="A171" s="59" t="s">
        <v>406</v>
      </c>
      <c r="B171" s="51">
        <v>44186</v>
      </c>
      <c r="C171" s="51">
        <v>44186</v>
      </c>
      <c r="D171" s="51">
        <v>44207</v>
      </c>
      <c r="E171" s="51">
        <v>44225</v>
      </c>
    </row>
    <row r="172" spans="1:5" x14ac:dyDescent="0.25">
      <c r="A172" s="59" t="s">
        <v>407</v>
      </c>
      <c r="B172" s="51">
        <v>44165</v>
      </c>
      <c r="C172" s="51">
        <v>44158</v>
      </c>
      <c r="D172" s="51">
        <v>44207</v>
      </c>
      <c r="E172" s="51">
        <v>44228</v>
      </c>
    </row>
    <row r="173" spans="1:5" x14ac:dyDescent="0.25">
      <c r="A173" s="59" t="s">
        <v>408</v>
      </c>
      <c r="B173" s="51">
        <v>44158</v>
      </c>
      <c r="C173" s="51">
        <v>44158</v>
      </c>
      <c r="D173" s="51">
        <v>44207</v>
      </c>
      <c r="E173" s="51">
        <v>44239</v>
      </c>
    </row>
    <row r="174" spans="1:5" x14ac:dyDescent="0.25">
      <c r="A174" s="59" t="s">
        <v>409</v>
      </c>
      <c r="B174" s="51">
        <v>44207</v>
      </c>
      <c r="C174" s="51" t="s">
        <v>210</v>
      </c>
      <c r="D174" s="51">
        <v>44221</v>
      </c>
      <c r="E174" s="51">
        <v>44225</v>
      </c>
    </row>
    <row r="175" spans="1:5" x14ac:dyDescent="0.25">
      <c r="A175" s="59" t="s">
        <v>410</v>
      </c>
      <c r="B175" s="51">
        <v>44200</v>
      </c>
      <c r="C175" s="51">
        <v>44200</v>
      </c>
      <c r="D175" s="51">
        <v>44221</v>
      </c>
      <c r="E175" s="51">
        <v>44239</v>
      </c>
    </row>
    <row r="176" spans="1:5" x14ac:dyDescent="0.25">
      <c r="A176" s="59" t="s">
        <v>411</v>
      </c>
      <c r="B176" s="51">
        <v>44179</v>
      </c>
      <c r="C176" s="51">
        <v>44172</v>
      </c>
      <c r="D176" s="51">
        <v>44221</v>
      </c>
      <c r="E176" s="51">
        <v>44242</v>
      </c>
    </row>
    <row r="177" spans="1:5" x14ac:dyDescent="0.25">
      <c r="A177" s="59" t="s">
        <v>412</v>
      </c>
      <c r="B177" s="51">
        <v>44172</v>
      </c>
      <c r="C177" s="51">
        <v>44172</v>
      </c>
      <c r="D177" s="51">
        <v>44221</v>
      </c>
      <c r="E177" s="51">
        <v>44253</v>
      </c>
    </row>
    <row r="178" spans="1:5" x14ac:dyDescent="0.25">
      <c r="A178" s="59" t="s">
        <v>413</v>
      </c>
      <c r="B178" s="51">
        <v>44221</v>
      </c>
      <c r="C178" s="51" t="s">
        <v>210</v>
      </c>
      <c r="D178" s="51">
        <v>44235</v>
      </c>
      <c r="E178" s="51">
        <v>44239</v>
      </c>
    </row>
    <row r="179" spans="1:5" x14ac:dyDescent="0.25">
      <c r="A179" s="59" t="s">
        <v>414</v>
      </c>
      <c r="B179" s="51">
        <v>44214</v>
      </c>
      <c r="C179" s="51">
        <v>44214</v>
      </c>
      <c r="D179" s="51">
        <v>44235</v>
      </c>
      <c r="E179" s="51">
        <v>44253</v>
      </c>
    </row>
    <row r="180" spans="1:5" x14ac:dyDescent="0.25">
      <c r="A180" s="59" t="s">
        <v>415</v>
      </c>
      <c r="B180" s="51">
        <v>44207</v>
      </c>
      <c r="C180" s="51">
        <v>44186</v>
      </c>
      <c r="D180" s="51">
        <v>44235</v>
      </c>
      <c r="E180" s="51">
        <v>44256</v>
      </c>
    </row>
    <row r="181" spans="1:5" x14ac:dyDescent="0.25">
      <c r="A181" s="59" t="s">
        <v>416</v>
      </c>
      <c r="B181" s="51">
        <v>44200</v>
      </c>
      <c r="C181" s="51">
        <v>44200</v>
      </c>
      <c r="D181" s="51">
        <v>44235</v>
      </c>
      <c r="E181" s="51">
        <v>44267</v>
      </c>
    </row>
    <row r="182" spans="1:5" x14ac:dyDescent="0.25">
      <c r="A182" s="59" t="s">
        <v>417</v>
      </c>
      <c r="B182" s="51">
        <v>44235</v>
      </c>
      <c r="C182" s="51" t="s">
        <v>210</v>
      </c>
      <c r="D182" s="51">
        <v>44249</v>
      </c>
      <c r="E182" s="51">
        <v>44253</v>
      </c>
    </row>
    <row r="183" spans="1:5" x14ac:dyDescent="0.25">
      <c r="A183" s="59" t="s">
        <v>418</v>
      </c>
      <c r="B183" s="51">
        <v>44228</v>
      </c>
      <c r="C183" s="51">
        <v>44228</v>
      </c>
      <c r="D183" s="51">
        <v>44249</v>
      </c>
      <c r="E183" s="51">
        <v>44267</v>
      </c>
    </row>
    <row r="184" spans="1:5" x14ac:dyDescent="0.25">
      <c r="A184" s="59" t="s">
        <v>419</v>
      </c>
      <c r="B184" s="51">
        <v>44221</v>
      </c>
      <c r="C184" s="51">
        <v>44214</v>
      </c>
      <c r="D184" s="51">
        <v>44249</v>
      </c>
      <c r="E184" s="51">
        <v>44270</v>
      </c>
    </row>
    <row r="185" spans="1:5" x14ac:dyDescent="0.25">
      <c r="A185" s="59" t="s">
        <v>420</v>
      </c>
      <c r="B185" s="51">
        <v>44214</v>
      </c>
      <c r="C185" s="51">
        <v>44214</v>
      </c>
      <c r="D185" s="51">
        <v>44249</v>
      </c>
      <c r="E185" s="51">
        <v>44281</v>
      </c>
    </row>
    <row r="186" spans="1:5" x14ac:dyDescent="0.25">
      <c r="A186" s="59" t="s">
        <v>421</v>
      </c>
      <c r="B186" s="51">
        <v>44249</v>
      </c>
      <c r="C186" s="51" t="s">
        <v>210</v>
      </c>
      <c r="D186" s="51">
        <v>44263</v>
      </c>
      <c r="E186" s="51">
        <v>44267</v>
      </c>
    </row>
    <row r="187" spans="1:5" x14ac:dyDescent="0.25">
      <c r="A187" s="59" t="s">
        <v>422</v>
      </c>
      <c r="B187" s="51">
        <v>44242</v>
      </c>
      <c r="C187" s="51">
        <v>44242</v>
      </c>
      <c r="D187" s="51">
        <v>44263</v>
      </c>
      <c r="E187" s="51">
        <v>44281</v>
      </c>
    </row>
    <row r="188" spans="1:5" x14ac:dyDescent="0.25">
      <c r="A188" s="59" t="s">
        <v>423</v>
      </c>
      <c r="B188" s="51">
        <v>44235</v>
      </c>
      <c r="C188" s="51">
        <v>44228</v>
      </c>
      <c r="D188" s="51">
        <v>44263</v>
      </c>
      <c r="E188" s="51">
        <v>44284</v>
      </c>
    </row>
    <row r="189" spans="1:5" x14ac:dyDescent="0.25">
      <c r="A189" s="59" t="s">
        <v>424</v>
      </c>
      <c r="B189" s="51">
        <v>44228</v>
      </c>
      <c r="C189" s="51">
        <v>44228</v>
      </c>
      <c r="D189" s="51">
        <v>44263</v>
      </c>
      <c r="E189" s="51">
        <v>44295</v>
      </c>
    </row>
    <row r="190" spans="1:5" x14ac:dyDescent="0.25">
      <c r="A190" s="59" t="s">
        <v>425</v>
      </c>
      <c r="B190" s="51">
        <v>44263</v>
      </c>
      <c r="C190" s="51" t="s">
        <v>210</v>
      </c>
      <c r="D190" s="51">
        <v>44277</v>
      </c>
      <c r="E190" s="51">
        <v>44281</v>
      </c>
    </row>
    <row r="191" spans="1:5" x14ac:dyDescent="0.25">
      <c r="A191" s="59" t="s">
        <v>426</v>
      </c>
      <c r="B191" s="51">
        <v>44256</v>
      </c>
      <c r="C191" s="51">
        <v>44256</v>
      </c>
      <c r="D191" s="51">
        <v>44277</v>
      </c>
      <c r="E191" s="51">
        <v>44295</v>
      </c>
    </row>
    <row r="192" spans="1:5" x14ac:dyDescent="0.25">
      <c r="A192" s="59" t="s">
        <v>427</v>
      </c>
      <c r="B192" s="51">
        <v>44249</v>
      </c>
      <c r="C192" s="51">
        <v>44242</v>
      </c>
      <c r="D192" s="51">
        <v>44277</v>
      </c>
      <c r="E192" s="51">
        <v>44298</v>
      </c>
    </row>
    <row r="193" spans="1:5" x14ac:dyDescent="0.25">
      <c r="A193" s="59" t="s">
        <v>428</v>
      </c>
      <c r="B193" s="51">
        <v>44242</v>
      </c>
      <c r="C193" s="51">
        <v>44242</v>
      </c>
      <c r="D193" s="51">
        <v>44277</v>
      </c>
      <c r="E193" s="51">
        <v>44309</v>
      </c>
    </row>
    <row r="194" spans="1:5" x14ac:dyDescent="0.25">
      <c r="A194" s="59" t="s">
        <v>429</v>
      </c>
      <c r="B194" s="51">
        <v>44277</v>
      </c>
      <c r="C194" s="51" t="s">
        <v>210</v>
      </c>
      <c r="D194" s="51">
        <v>44291</v>
      </c>
      <c r="E194" s="51">
        <v>44295</v>
      </c>
    </row>
    <row r="195" spans="1:5" x14ac:dyDescent="0.25">
      <c r="A195" s="59" t="s">
        <v>430</v>
      </c>
      <c r="B195" s="51">
        <v>44270</v>
      </c>
      <c r="C195" s="51">
        <v>44270</v>
      </c>
      <c r="D195" s="51">
        <v>44291</v>
      </c>
      <c r="E195" s="51">
        <v>44309</v>
      </c>
    </row>
    <row r="196" spans="1:5" x14ac:dyDescent="0.25">
      <c r="A196" s="59" t="s">
        <v>431</v>
      </c>
      <c r="B196" s="51">
        <v>44263</v>
      </c>
      <c r="C196" s="51">
        <v>44256</v>
      </c>
      <c r="D196" s="51">
        <v>44291</v>
      </c>
      <c r="E196" s="51">
        <v>44312</v>
      </c>
    </row>
    <row r="197" spans="1:5" x14ac:dyDescent="0.25">
      <c r="A197" s="59" t="s">
        <v>432</v>
      </c>
      <c r="B197" s="51">
        <v>44256</v>
      </c>
      <c r="C197" s="51">
        <v>44256</v>
      </c>
      <c r="D197" s="51">
        <v>44291</v>
      </c>
      <c r="E197" s="51">
        <v>44323</v>
      </c>
    </row>
    <row r="198" spans="1:5" x14ac:dyDescent="0.25">
      <c r="A198" s="59" t="s">
        <v>433</v>
      </c>
      <c r="B198" s="51">
        <v>44291</v>
      </c>
      <c r="C198" s="51" t="s">
        <v>210</v>
      </c>
      <c r="D198" s="51">
        <v>44305</v>
      </c>
      <c r="E198" s="51">
        <v>44309</v>
      </c>
    </row>
    <row r="199" spans="1:5" x14ac:dyDescent="0.25">
      <c r="A199" s="59" t="s">
        <v>434</v>
      </c>
      <c r="B199" s="51">
        <v>44284</v>
      </c>
      <c r="C199" s="51">
        <v>44284</v>
      </c>
      <c r="D199" s="51">
        <v>44305</v>
      </c>
      <c r="E199" s="51">
        <v>44323</v>
      </c>
    </row>
    <row r="200" spans="1:5" x14ac:dyDescent="0.25">
      <c r="A200" s="59" t="s">
        <v>435</v>
      </c>
      <c r="B200" s="51">
        <v>44277</v>
      </c>
      <c r="C200" s="51">
        <v>44270</v>
      </c>
      <c r="D200" s="51">
        <v>44305</v>
      </c>
      <c r="E200" s="51">
        <v>44326</v>
      </c>
    </row>
    <row r="201" spans="1:5" x14ac:dyDescent="0.25">
      <c r="A201" s="59" t="s">
        <v>436</v>
      </c>
      <c r="B201" s="51">
        <v>44270</v>
      </c>
      <c r="C201" s="51">
        <v>44270</v>
      </c>
      <c r="D201" s="51">
        <v>44305</v>
      </c>
      <c r="E201" s="51">
        <v>44337</v>
      </c>
    </row>
    <row r="202" spans="1:5" x14ac:dyDescent="0.25">
      <c r="A202" s="59" t="s">
        <v>437</v>
      </c>
      <c r="B202" s="51">
        <v>44305</v>
      </c>
      <c r="C202" s="51" t="s">
        <v>210</v>
      </c>
      <c r="D202" s="51">
        <v>44319</v>
      </c>
      <c r="E202" s="51">
        <v>44323</v>
      </c>
    </row>
    <row r="203" spans="1:5" x14ac:dyDescent="0.25">
      <c r="A203" s="59" t="s">
        <v>438</v>
      </c>
      <c r="B203" s="51">
        <v>44298</v>
      </c>
      <c r="C203" s="51">
        <v>44298</v>
      </c>
      <c r="D203" s="51">
        <v>44319</v>
      </c>
      <c r="E203" s="51">
        <v>44337</v>
      </c>
    </row>
    <row r="204" spans="1:5" x14ac:dyDescent="0.25">
      <c r="A204" s="59" t="s">
        <v>439</v>
      </c>
      <c r="B204" s="51">
        <v>44291</v>
      </c>
      <c r="C204" s="51">
        <v>44284</v>
      </c>
      <c r="D204" s="51">
        <v>44319</v>
      </c>
      <c r="E204" s="51">
        <v>44340</v>
      </c>
    </row>
    <row r="205" spans="1:5" x14ac:dyDescent="0.25">
      <c r="A205" s="59" t="s">
        <v>440</v>
      </c>
      <c r="B205" s="51">
        <v>44284</v>
      </c>
      <c r="C205" s="51">
        <v>44284</v>
      </c>
      <c r="D205" s="51">
        <v>44319</v>
      </c>
      <c r="E205" s="51">
        <v>44351</v>
      </c>
    </row>
    <row r="206" spans="1:5" x14ac:dyDescent="0.25">
      <c r="A206" s="60"/>
    </row>
  </sheetData>
  <customSheetViews>
    <customSheetView guid="{33876330-D4CE-4DD3-A5B9-91A882722FCE}" scale="85" state="hidden">
      <selection activeCell="B8" sqref="B8"/>
      <pageMargins left="0" right="0" top="0" bottom="0" header="0" footer="0"/>
    </customSheetView>
  </customSheetView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no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no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no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CECA935D9A8143A40B7F85D942BDBC" ma:contentTypeVersion="12" ma:contentTypeDescription="Create a new document." ma:contentTypeScope="" ma:versionID="64a78f01a97ab33bbffcdc2e585df0e0">
  <xsd:schema xmlns:xsd="http://www.w3.org/2001/XMLSchema" xmlns:xs="http://www.w3.org/2001/XMLSchema" xmlns:p="http://schemas.microsoft.com/office/2006/metadata/properties" xmlns:ns2="5aaaa9c9-0bf3-48d0-963e-b0e492423bcd" xmlns:ns3="72eecfb2-3466-4f00-a55d-be10feabaedd" targetNamespace="http://schemas.microsoft.com/office/2006/metadata/properties" ma:root="true" ma:fieldsID="e2bbd04232f4fa9300e4ac4e730190e5" ns2:_="" ns3:_="">
    <xsd:import namespace="5aaaa9c9-0bf3-48d0-963e-b0e492423bcd"/>
    <xsd:import namespace="72eecfb2-3466-4f00-a55d-be10feabae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aaa9c9-0bf3-48d0-963e-b0e492423bc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eecfb2-3466-4f00-a55d-be10feabaedd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2eecfb2-3466-4f00-a55d-be10feabaedd">
      <UserInfo>
        <DisplayName>Davies, Caroline</DisplayName>
        <AccountId>1748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B21DA014-AA81-43FE-969B-C86A59A6F4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6426108-C709-4505-8914-AD4E3EDE0F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aaa9c9-0bf3-48d0-963e-b0e492423bcd"/>
    <ds:schemaRef ds:uri="72eecfb2-3466-4f00-a55d-be10feabae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4D8195-A58C-4973-AF72-FF94DD8BB391}">
  <ds:schemaRefs>
    <ds:schemaRef ds:uri="http://schemas.microsoft.com/office/infopath/2007/PartnerControls"/>
    <ds:schemaRef ds:uri="http://schemas.openxmlformats.org/package/2006/metadata/core-properties"/>
    <ds:schemaRef ds:uri="5aaaa9c9-0bf3-48d0-963e-b0e492423bcd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terms/"/>
    <ds:schemaRef ds:uri="72eecfb2-3466-4f00-a55d-be10feabaed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25</vt:i4>
      </vt:variant>
    </vt:vector>
  </HeadingPairs>
  <TitlesOfParts>
    <vt:vector size="34" baseType="lpstr">
      <vt:lpstr>FAQs</vt:lpstr>
      <vt:lpstr>Settings</vt:lpstr>
      <vt:lpstr>AlphaLists</vt:lpstr>
      <vt:lpstr>Home Page</vt:lpstr>
      <vt:lpstr>PAL</vt:lpstr>
      <vt:lpstr>Multiple Artwork for Product</vt:lpstr>
      <vt:lpstr>Multipack Children</vt:lpstr>
      <vt:lpstr>PAL Meeting Minutes</vt:lpstr>
      <vt:lpstr>Batch Dates</vt:lpstr>
      <vt:lpstr>afoMultipack</vt:lpstr>
      <vt:lpstr>afoMultipleArtwork</vt:lpstr>
      <vt:lpstr>AnswerRowInsert</vt:lpstr>
      <vt:lpstr>dlBatchNumbers</vt:lpstr>
      <vt:lpstr>dlRoles</vt:lpstr>
      <vt:lpstr>drCompletedBy</vt:lpstr>
      <vt:lpstr>drCreativeGateCheck</vt:lpstr>
      <vt:lpstr>dseColumnCount</vt:lpstr>
      <vt:lpstr>dseCurrentView</vt:lpstr>
      <vt:lpstr>dsePALProjectName</vt:lpstr>
      <vt:lpstr>dseRole</vt:lpstr>
      <vt:lpstr>dtDepotDate</vt:lpstr>
      <vt:lpstr>dtiColumnKey</vt:lpstr>
      <vt:lpstr>dtiNewSummary</vt:lpstr>
      <vt:lpstr>dtiPALData</vt:lpstr>
      <vt:lpstr>dtiReducedPALData</vt:lpstr>
      <vt:lpstr>dtMultiArtworkUPC</vt:lpstr>
      <vt:lpstr>dtMultiPackUPC</vt:lpstr>
      <vt:lpstr>dtProjectName</vt:lpstr>
      <vt:lpstr>'Multipack Children'!Extract</vt:lpstr>
      <vt:lpstr>'Multiple Artwork for Product'!Extract</vt:lpstr>
      <vt:lpstr>MainSheetTable</vt:lpstr>
      <vt:lpstr>PAL!Print_Area</vt:lpstr>
      <vt:lpstr>PAL!Print_Titles</vt:lpstr>
      <vt:lpstr>TopFAQs</vt:lpstr>
    </vt:vector>
  </TitlesOfParts>
  <Manager/>
  <Company>Marks and Spencer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2014-02-22T17:55:16Z</dcterms:created>
  <dc:creator>b7783397</dc:creator>
  <cp:lastModifiedBy>Harish Karanam</cp:lastModifiedBy>
  <dcterms:modified xsi:type="dcterms:W3CDTF">2022-04-08T08:46:55Z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0x01010089CECA935D9A8143A40B7F85D942BDBC</vt:lpwstr>
  </property>
  <property fmtid="{D5CDD505-2E9C-101B-9397-08002B2CF9AE}" pid="3" name="Order">
    <vt:r8>100</vt:r8>
  </property>
</Properties>
</file>